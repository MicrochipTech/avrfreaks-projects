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360" yWindow="75" windowWidth="5595" windowHeight="4110" activeTab="2"/>
  </bookViews>
  <sheets>
    <sheet name="PONTEIROS" sheetId="1" r:id="rId1"/>
    <sheet name="BCKGND" sheetId="2" r:id="rId2"/>
    <sheet name="ASCII" sheetId="3" r:id="rId3"/>
    <sheet name="CORES" sheetId="4" r:id="rId4"/>
    <sheet name="Folha1" sheetId="5" r:id="rId5"/>
  </sheets>
  <calcPr calcId="125725" calcMode="manual"/>
</workbook>
</file>

<file path=xl/calcChain.xml><?xml version="1.0" encoding="utf-8"?>
<calcChain xmlns="http://schemas.openxmlformats.org/spreadsheetml/2006/main">
  <c r="P13" i="3"/>
  <c r="Q13"/>
  <c r="R13"/>
  <c r="S13"/>
  <c r="T13"/>
  <c r="B3" i="5"/>
  <c r="D58" i="4"/>
  <c r="C58"/>
  <c r="B58"/>
  <c r="D57"/>
  <c r="C57"/>
  <c r="B57"/>
  <c r="D56"/>
  <c r="C56"/>
  <c r="B56"/>
  <c r="D55"/>
  <c r="C55"/>
  <c r="B55"/>
  <c r="D54"/>
  <c r="C54"/>
  <c r="B54"/>
  <c r="D53"/>
  <c r="C53"/>
  <c r="B53"/>
  <c r="D52"/>
  <c r="C52"/>
  <c r="B52"/>
  <c r="D51"/>
  <c r="C51"/>
  <c r="B51"/>
  <c r="D50"/>
  <c r="C50"/>
  <c r="B50"/>
  <c r="D49"/>
  <c r="C49"/>
  <c r="B49"/>
  <c r="D48"/>
  <c r="C48"/>
  <c r="B48"/>
  <c r="D47"/>
  <c r="C47"/>
  <c r="B47"/>
  <c r="D46"/>
  <c r="C46"/>
  <c r="B46"/>
  <c r="D45"/>
  <c r="C45"/>
  <c r="B45"/>
  <c r="D44"/>
  <c r="C44"/>
  <c r="B44"/>
  <c r="D43"/>
  <c r="C43"/>
  <c r="B43"/>
  <c r="D42"/>
  <c r="C42"/>
  <c r="B42"/>
  <c r="D41"/>
  <c r="C41"/>
  <c r="B41"/>
  <c r="D40"/>
  <c r="C40"/>
  <c r="B40"/>
  <c r="D39"/>
  <c r="C39"/>
  <c r="B39"/>
  <c r="D38"/>
  <c r="C38"/>
  <c r="B38"/>
  <c r="D37"/>
  <c r="C37"/>
  <c r="B37"/>
  <c r="D36"/>
  <c r="C36"/>
  <c r="B36"/>
  <c r="D35"/>
  <c r="C35"/>
  <c r="B35"/>
  <c r="D34"/>
  <c r="C34"/>
  <c r="B34"/>
  <c r="D33"/>
  <c r="C33"/>
  <c r="B33"/>
  <c r="D32"/>
  <c r="C32"/>
  <c r="B32"/>
  <c r="D31"/>
  <c r="C31"/>
  <c r="B31"/>
  <c r="D30"/>
  <c r="C30"/>
  <c r="B30"/>
  <c r="D29"/>
  <c r="C29"/>
  <c r="B29"/>
  <c r="D28"/>
  <c r="C28"/>
  <c r="B28"/>
  <c r="D27"/>
  <c r="C27"/>
  <c r="B27"/>
  <c r="D26"/>
  <c r="C26"/>
  <c r="B26"/>
  <c r="D25"/>
  <c r="C25"/>
  <c r="B25"/>
  <c r="D24"/>
  <c r="C24"/>
  <c r="B24"/>
  <c r="D23"/>
  <c r="C23"/>
  <c r="B23"/>
  <c r="D22"/>
  <c r="C22"/>
  <c r="B22"/>
  <c r="D21"/>
  <c r="C21"/>
  <c r="B21"/>
  <c r="D20"/>
  <c r="C20"/>
  <c r="B20"/>
  <c r="D19"/>
  <c r="C19"/>
  <c r="B19"/>
  <c r="D18"/>
  <c r="C18"/>
  <c r="B18"/>
  <c r="D17"/>
  <c r="C17"/>
  <c r="B17"/>
  <c r="D16"/>
  <c r="C16"/>
  <c r="B16"/>
  <c r="D15"/>
  <c r="C15"/>
  <c r="B15"/>
  <c r="D14"/>
  <c r="C14"/>
  <c r="B14"/>
  <c r="D13"/>
  <c r="C13"/>
  <c r="B13"/>
  <c r="D12"/>
  <c r="C12"/>
  <c r="B12"/>
  <c r="D11"/>
  <c r="C11"/>
  <c r="B11"/>
  <c r="D10"/>
  <c r="C10"/>
  <c r="B10"/>
  <c r="D9"/>
  <c r="C9"/>
  <c r="B9"/>
  <c r="D8"/>
  <c r="C8"/>
  <c r="B8"/>
  <c r="D7"/>
  <c r="C7"/>
  <c r="B7"/>
  <c r="D6"/>
  <c r="C6"/>
  <c r="B6"/>
  <c r="D5"/>
  <c r="C5"/>
  <c r="B5"/>
  <c r="D4"/>
  <c r="C4"/>
  <c r="B4"/>
  <c r="D3"/>
  <c r="C3"/>
  <c r="B3"/>
  <c r="D2"/>
  <c r="C2"/>
  <c r="B2"/>
  <c r="J20" i="3"/>
  <c r="I20"/>
  <c r="H20"/>
  <c r="G20"/>
  <c r="F20"/>
  <c r="J19"/>
  <c r="I19"/>
  <c r="H19"/>
  <c r="G19"/>
  <c r="F19"/>
  <c r="J18"/>
  <c r="I18"/>
  <c r="H18"/>
  <c r="G18"/>
  <c r="F18"/>
  <c r="J17"/>
  <c r="I17"/>
  <c r="H17"/>
  <c r="G17"/>
  <c r="F17"/>
  <c r="C17"/>
  <c r="J16"/>
  <c r="I16"/>
  <c r="H16"/>
  <c r="G16"/>
  <c r="F16"/>
  <c r="J15"/>
  <c r="I15"/>
  <c r="H15"/>
  <c r="G15"/>
  <c r="F15"/>
  <c r="J14"/>
  <c r="I14"/>
  <c r="H14"/>
  <c r="G14"/>
  <c r="F14"/>
  <c r="J13"/>
  <c r="I13"/>
  <c r="H13"/>
  <c r="G13"/>
  <c r="F13"/>
  <c r="GC10"/>
  <c r="FX10" s="1"/>
  <c r="FW10" s="1"/>
  <c r="FV10" s="1"/>
  <c r="FU10" s="1"/>
  <c r="FT10" s="1"/>
  <c r="FS10" s="1"/>
  <c r="FR10" s="1"/>
  <c r="FQ10" s="1"/>
  <c r="FP10" s="1"/>
  <c r="FO10" s="1"/>
  <c r="FN10" s="1"/>
  <c r="FM10" s="1"/>
  <c r="FL10" s="1"/>
  <c r="FK10" s="1"/>
  <c r="FJ10" s="1"/>
  <c r="FI10" s="1"/>
  <c r="FH10" s="1"/>
  <c r="FG10" s="1"/>
  <c r="FF10" s="1"/>
  <c r="FE10" s="1"/>
  <c r="FD10" s="1"/>
  <c r="FC10" s="1"/>
  <c r="FB10" s="1"/>
  <c r="FA10" s="1"/>
  <c r="EZ10" s="1"/>
  <c r="EY10" s="1"/>
  <c r="EX10" s="1"/>
  <c r="EW10" s="1"/>
  <c r="EV10" s="1"/>
  <c r="EU10" s="1"/>
  <c r="ET10" s="1"/>
  <c r="ES10" s="1"/>
  <c r="ER10" s="1"/>
  <c r="EQ10" s="1"/>
  <c r="EP10" s="1"/>
  <c r="EO10" s="1"/>
  <c r="EN10" s="1"/>
  <c r="EM10" s="1"/>
  <c r="EL10" s="1"/>
  <c r="EK10" s="1"/>
  <c r="EJ10" s="1"/>
  <c r="EI10" s="1"/>
  <c r="EH10" s="1"/>
  <c r="EG10" s="1"/>
  <c r="EF10" s="1"/>
  <c r="EE10" s="1"/>
  <c r="ED10" s="1"/>
  <c r="EC10" s="1"/>
  <c r="EB10" s="1"/>
  <c r="EA10" s="1"/>
  <c r="DZ10" s="1"/>
  <c r="DY10" s="1"/>
  <c r="DX10" s="1"/>
  <c r="DW10" s="1"/>
  <c r="DV10" s="1"/>
  <c r="DU10" s="1"/>
  <c r="DT10" s="1"/>
  <c r="DS10" s="1"/>
  <c r="DR10" s="1"/>
  <c r="DQ10" s="1"/>
  <c r="DP10" s="1"/>
  <c r="DO10" s="1"/>
  <c r="DN10" s="1"/>
  <c r="DM10" s="1"/>
  <c r="DL10" s="1"/>
  <c r="DK10" s="1"/>
  <c r="DJ10" s="1"/>
  <c r="DI10" s="1"/>
  <c r="DH10" s="1"/>
  <c r="DG10" s="1"/>
  <c r="DF10" s="1"/>
  <c r="DE10" s="1"/>
  <c r="DD10" s="1"/>
  <c r="DC10" s="1"/>
  <c r="DB10" s="1"/>
  <c r="DA10" s="1"/>
  <c r="CZ10" s="1"/>
  <c r="CY10" s="1"/>
  <c r="CX10" s="1"/>
  <c r="CW10" s="1"/>
  <c r="CV10" s="1"/>
  <c r="CU10" s="1"/>
  <c r="CT10" s="1"/>
  <c r="CS10" s="1"/>
  <c r="CR10" s="1"/>
  <c r="CQ10" s="1"/>
  <c r="CP10" s="1"/>
  <c r="CO10" s="1"/>
  <c r="CN10" s="1"/>
  <c r="CM10" s="1"/>
  <c r="CL10" s="1"/>
  <c r="CK10" s="1"/>
  <c r="CJ10" s="1"/>
  <c r="CI10" s="1"/>
  <c r="CH10" s="1"/>
  <c r="CG10" s="1"/>
  <c r="CF10" s="1"/>
  <c r="CE10" s="1"/>
  <c r="CD10" s="1"/>
  <c r="CC10" s="1"/>
  <c r="CB10" s="1"/>
  <c r="CA10" s="1"/>
  <c r="BZ10" s="1"/>
  <c r="BY10" s="1"/>
  <c r="BX10" s="1"/>
  <c r="BW10" s="1"/>
  <c r="BV10" s="1"/>
  <c r="BU10" s="1"/>
  <c r="BT10" s="1"/>
  <c r="BS10" s="1"/>
  <c r="BR10" s="1"/>
  <c r="BQ10" s="1"/>
  <c r="BP10" s="1"/>
  <c r="BO10" s="1"/>
  <c r="BN10" s="1"/>
  <c r="BM10" s="1"/>
  <c r="BL10" s="1"/>
  <c r="BK10" s="1"/>
  <c r="BJ10" s="1"/>
  <c r="BI10" s="1"/>
  <c r="BH10" s="1"/>
  <c r="BG10" s="1"/>
  <c r="BF10" s="1"/>
  <c r="BE10" s="1"/>
  <c r="BD10" s="1"/>
  <c r="BC10" s="1"/>
  <c r="BB10" s="1"/>
  <c r="BA10" s="1"/>
  <c r="AZ10" s="1"/>
  <c r="AY10" s="1"/>
  <c r="AX10" s="1"/>
  <c r="AW10" s="1"/>
  <c r="AV10" s="1"/>
  <c r="AU10" s="1"/>
  <c r="AT10" s="1"/>
  <c r="AS10" s="1"/>
  <c r="AR10" s="1"/>
  <c r="AQ10" s="1"/>
  <c r="AP10" s="1"/>
  <c r="AO10" s="1"/>
  <c r="AN10" s="1"/>
  <c r="AM10" s="1"/>
  <c r="AL10" s="1"/>
  <c r="AK10" s="1"/>
  <c r="AJ10" s="1"/>
  <c r="AI10" s="1"/>
  <c r="AH10" s="1"/>
  <c r="AG10" s="1"/>
  <c r="AF10" s="1"/>
  <c r="AE10" s="1"/>
  <c r="AD10" s="1"/>
  <c r="AC10" s="1"/>
  <c r="AB10" s="1"/>
  <c r="AA10" s="1"/>
  <c r="Z10" s="1"/>
  <c r="Y10" s="1"/>
  <c r="X10" s="1"/>
  <c r="W10" s="1"/>
  <c r="V10" s="1"/>
  <c r="U10" s="1"/>
  <c r="T10" s="1"/>
  <c r="S10" s="1"/>
  <c r="R10" s="1"/>
  <c r="Q10" s="1"/>
  <c r="P10" s="1"/>
  <c r="O10" s="1"/>
  <c r="N10" s="1"/>
  <c r="M10" s="1"/>
  <c r="L10" s="1"/>
  <c r="K10" s="1"/>
  <c r="J10" s="1"/>
  <c r="I10" s="1"/>
  <c r="H10" s="1"/>
  <c r="G10" s="1"/>
  <c r="F10" s="1"/>
  <c r="E10" s="1"/>
  <c r="D10" s="1"/>
  <c r="C10" s="1"/>
  <c r="B10" s="1"/>
  <c r="A10" s="1"/>
  <c r="FX9"/>
  <c r="FW9"/>
  <c r="FV9"/>
  <c r="FU9"/>
  <c r="FT9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BU15" i="2" l="1"/>
  <c r="BU14" l="1"/>
  <c r="S12" l="1"/>
  <c r="S11" l="1"/>
  <c r="BU9" l="1"/>
  <c r="BT4" l="1"/>
  <c r="BR3"/>
  <c r="BP3"/>
  <c r="BR2"/>
  <c r="BB15" i="1"/>
  <c r="AZ15"/>
  <c r="AX15"/>
  <c r="AV15"/>
  <c r="AT15"/>
  <c r="AR15"/>
  <c r="AP15"/>
  <c r="AN15"/>
  <c r="AG15"/>
  <c r="BB14"/>
  <c r="AZ14"/>
  <c r="AX14"/>
  <c r="AV14"/>
  <c r="AT14"/>
  <c r="AR14"/>
  <c r="AP14"/>
  <c r="AN14"/>
  <c r="AG14"/>
  <c r="BB13"/>
  <c r="AZ13"/>
  <c r="AX13"/>
  <c r="AV13"/>
  <c r="AT13"/>
  <c r="AR13"/>
  <c r="AP13"/>
  <c r="AN13"/>
  <c r="AG13"/>
  <c r="BB12"/>
  <c r="AZ12"/>
  <c r="AX12"/>
  <c r="AV12"/>
  <c r="AT12"/>
  <c r="AR12"/>
  <c r="AP12"/>
  <c r="AN12"/>
  <c r="AG12"/>
  <c r="BB11"/>
  <c r="AZ11"/>
  <c r="AX11"/>
  <c r="AV11"/>
  <c r="AT11"/>
  <c r="AR11"/>
  <c r="AP11"/>
  <c r="AN11"/>
  <c r="AG11"/>
  <c r="BB10"/>
  <c r="AZ10"/>
  <c r="AX10"/>
  <c r="AV10"/>
  <c r="AT10"/>
  <c r="AR10"/>
  <c r="AP10"/>
  <c r="AN10"/>
  <c r="AG10"/>
  <c r="BB9"/>
  <c r="AZ9"/>
  <c r="AX9"/>
  <c r="AV9"/>
  <c r="AT9"/>
  <c r="AR9"/>
  <c r="AP9"/>
  <c r="AN9"/>
  <c r="AG9"/>
  <c r="BB8"/>
  <c r="AZ8"/>
  <c r="AX8"/>
  <c r="AV8"/>
  <c r="AT8"/>
  <c r="AR8"/>
  <c r="AP8"/>
  <c r="AN8"/>
  <c r="AG8"/>
  <c r="BB7"/>
  <c r="AZ7"/>
  <c r="AX7"/>
  <c r="AV7"/>
  <c r="AT7"/>
  <c r="AR7"/>
  <c r="AP7"/>
  <c r="AN7"/>
  <c r="AG7"/>
  <c r="BB6"/>
  <c r="AZ6"/>
  <c r="AX6"/>
  <c r="AV6"/>
  <c r="AT6"/>
  <c r="AR6"/>
  <c r="AP6"/>
  <c r="AN6"/>
  <c r="AG6" s="1"/>
  <c r="BB5"/>
  <c r="AZ5"/>
  <c r="AX5"/>
  <c r="AV5"/>
  <c r="AT5"/>
  <c r="AR5"/>
  <c r="AP5"/>
  <c r="AN5"/>
  <c r="AG5"/>
  <c r="BB4"/>
  <c r="AZ4"/>
  <c r="AX4"/>
  <c r="AV4"/>
  <c r="AT4"/>
  <c r="AR4"/>
  <c r="AP4"/>
  <c r="AN4"/>
  <c r="AG4" s="1"/>
  <c r="BB3"/>
  <c r="AZ3"/>
  <c r="AX3"/>
  <c r="AV3"/>
  <c r="AT3"/>
  <c r="AR3"/>
  <c r="AP3"/>
  <c r="AN3"/>
  <c r="AG3"/>
  <c r="BB2"/>
  <c r="AZ2"/>
  <c r="AX2"/>
  <c r="AV2"/>
  <c r="AT2"/>
  <c r="AR2"/>
  <c r="AP2"/>
  <c r="AN2"/>
  <c r="AG2" s="1"/>
  <c r="BB1"/>
  <c r="AZ1"/>
  <c r="AX1"/>
  <c r="AV1"/>
  <c r="AT1"/>
  <c r="AR1"/>
  <c r="AP1"/>
  <c r="AN1"/>
  <c r="AG1"/>
  <c r="BS2" i="2" l="1"/>
  <c r="BP4" l="1"/>
  <c r="BR4"/>
  <c r="BP5"/>
  <c r="BR5"/>
  <c r="BP6"/>
  <c r="BR6"/>
  <c r="BP7"/>
  <c r="BR7"/>
  <c r="BP8"/>
  <c r="BP9"/>
  <c r="BR9"/>
  <c r="BP10"/>
  <c r="BR8"/>
  <c r="BR10"/>
  <c r="BP11"/>
  <c r="BR11"/>
  <c r="BP12"/>
  <c r="BR12"/>
  <c r="BP13"/>
  <c r="BR13"/>
  <c r="BP14"/>
  <c r="BR14"/>
  <c r="BP15"/>
  <c r="BR15"/>
  <c r="BP16"/>
  <c r="BR16"/>
  <c r="BP17"/>
  <c r="BP18"/>
  <c r="BR17"/>
  <c r="BR18"/>
  <c r="BP19"/>
  <c r="BR19"/>
  <c r="BP20"/>
  <c r="BR20"/>
  <c r="BP21"/>
  <c r="BR21"/>
  <c r="BP22"/>
  <c r="BR22"/>
  <c r="BP23"/>
  <c r="BR23"/>
  <c r="BP24"/>
  <c r="BP25"/>
  <c r="BR24"/>
  <c r="BR25"/>
  <c r="BP26"/>
  <c r="BR26"/>
  <c r="BP27"/>
  <c r="BR27"/>
  <c r="BP28"/>
  <c r="BR28"/>
  <c r="BP29"/>
  <c r="BR29"/>
  <c r="BP30"/>
  <c r="BR30"/>
  <c r="BP31"/>
  <c r="BP32"/>
  <c r="BR31"/>
  <c r="BP33"/>
  <c r="BR33"/>
  <c r="BR32"/>
</calcChain>
</file>

<file path=xl/sharedStrings.xml><?xml version="1.0" encoding="utf-8"?>
<sst xmlns="http://schemas.openxmlformats.org/spreadsheetml/2006/main" count="83" uniqueCount="78">
  <si>
    <t>X</t>
  </si>
  <si>
    <t>Y</t>
  </si>
  <si>
    <t>R</t>
  </si>
  <si>
    <t>5x</t>
  </si>
  <si>
    <t>&gt;</t>
  </si>
  <si>
    <t>-</t>
  </si>
  <si>
    <t>ALTURA- 30..36 Largura - 5..9</t>
  </si>
  <si>
    <t>56-61</t>
  </si>
  <si>
    <t>55 - 61</t>
  </si>
  <si>
    <t>31 - 35</t>
  </si>
  <si>
    <t>a</t>
  </si>
  <si>
    <t>b</t>
  </si>
  <si>
    <t>c</t>
  </si>
  <si>
    <t>d</t>
  </si>
  <si>
    <t xml:space="preserve">CARACTER </t>
  </si>
  <si>
    <t>POSX</t>
  </si>
  <si>
    <t>POSY</t>
  </si>
  <si>
    <t>PIXEL</t>
  </si>
  <si>
    <t>[Color 0]</t>
  </si>
  <si>
    <t>[Color 1]</t>
  </si>
  <si>
    <t>[Color 2]</t>
  </si>
  <si>
    <t>[Color 3]</t>
  </si>
  <si>
    <t>[Color 4]</t>
  </si>
  <si>
    <t>[Color 5]</t>
  </si>
  <si>
    <t>[Color 6]</t>
  </si>
  <si>
    <t>[Color 7]</t>
  </si>
  <si>
    <t>[Color 8]</t>
  </si>
  <si>
    <t>[Color 9]</t>
  </si>
  <si>
    <t>[Color 10]</t>
  </si>
  <si>
    <t>[Color 11]</t>
  </si>
  <si>
    <t>[Color 12]</t>
  </si>
  <si>
    <t>[Color 13]</t>
  </si>
  <si>
    <t>[Color 14]</t>
  </si>
  <si>
    <t>[Color 15]</t>
  </si>
  <si>
    <t>[Color 16]</t>
  </si>
  <si>
    <t>[Color 17]</t>
  </si>
  <si>
    <t>[Color 18]</t>
  </si>
  <si>
    <t>[Color 19]</t>
  </si>
  <si>
    <t>[Color 20]</t>
  </si>
  <si>
    <t>[Color 21]</t>
  </si>
  <si>
    <t>[Color 22]</t>
  </si>
  <si>
    <t>[Color 23]</t>
  </si>
  <si>
    <t>[Color 24]</t>
  </si>
  <si>
    <t>[Color 25]</t>
  </si>
  <si>
    <t>[Color 26]</t>
  </si>
  <si>
    <t>[Color 27]</t>
  </si>
  <si>
    <t>[Color 28]</t>
  </si>
  <si>
    <t>[Color 29]</t>
  </si>
  <si>
    <t>[Color 30]</t>
  </si>
  <si>
    <t>[Color 31]</t>
  </si>
  <si>
    <t>[Color 32]</t>
  </si>
  <si>
    <t>[Color 33]</t>
  </si>
  <si>
    <t>[Color 34]</t>
  </si>
  <si>
    <t>[Color 35]</t>
  </si>
  <si>
    <t>[Color 36]</t>
  </si>
  <si>
    <t>[Color 37]</t>
  </si>
  <si>
    <t>[Color 38]</t>
  </si>
  <si>
    <t>[Color 39]</t>
  </si>
  <si>
    <t>[Color 40]</t>
  </si>
  <si>
    <t>[Color 41]</t>
  </si>
  <si>
    <t>[Color 42]</t>
  </si>
  <si>
    <t>[Color 43]</t>
  </si>
  <si>
    <t>[Color 44]</t>
  </si>
  <si>
    <t>[Color 45]</t>
  </si>
  <si>
    <t>[Color 46]</t>
  </si>
  <si>
    <t>[Color 47]</t>
  </si>
  <si>
    <t>[Color 48]</t>
  </si>
  <si>
    <t>[Color 49]</t>
  </si>
  <si>
    <t>[Color 50]</t>
  </si>
  <si>
    <t>[Color 51]</t>
  </si>
  <si>
    <t>[Color 52]</t>
  </si>
  <si>
    <t>[Color 53]</t>
  </si>
  <si>
    <t>[Color 54]</t>
  </si>
  <si>
    <t>[Color 55]</t>
  </si>
  <si>
    <t>[Color 56]</t>
  </si>
  <si>
    <t>G</t>
  </si>
  <si>
    <t>B</t>
  </si>
  <si>
    <t>COR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</si>
</sst>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22"/>
      <color theme="1"/>
      <name val="LinePrinter"/>
      <family val="3"/>
    </font>
  </fonts>
  <fills count="6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7B0C0C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00"/>
      </left>
      <right/>
      <top style="medium">
        <color rgb="FFFFFF00"/>
      </top>
      <bottom/>
      <diagonal/>
    </border>
    <border>
      <left/>
      <right/>
      <top style="medium">
        <color rgb="FFFFFF00"/>
      </top>
      <bottom/>
      <diagonal/>
    </border>
    <border>
      <left/>
      <right style="medium">
        <color rgb="FFFFFF00"/>
      </right>
      <top style="medium">
        <color rgb="FFFFFF00"/>
      </top>
      <bottom/>
      <diagonal/>
    </border>
    <border>
      <left style="medium">
        <color rgb="FFFFFF00"/>
      </left>
      <right/>
      <top/>
      <bottom/>
      <diagonal/>
    </border>
    <border>
      <left style="thin">
        <color indexed="64"/>
      </left>
      <right style="medium">
        <color rgb="FFFFFF00"/>
      </right>
      <top style="thin">
        <color indexed="64"/>
      </top>
      <bottom style="thin">
        <color indexed="64"/>
      </bottom>
      <diagonal/>
    </border>
    <border>
      <left/>
      <right style="medium">
        <color rgb="FFFFFF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FF00"/>
      </left>
      <right/>
      <top/>
      <bottom style="medium">
        <color rgb="FFFFFF00"/>
      </bottom>
      <diagonal/>
    </border>
    <border>
      <left/>
      <right/>
      <top/>
      <bottom style="medium">
        <color rgb="FFFFFF00"/>
      </bottom>
      <diagonal/>
    </border>
    <border>
      <left/>
      <right style="medium">
        <color rgb="FFFFFF00"/>
      </right>
      <top/>
      <bottom style="medium">
        <color rgb="FFFFFF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5" tint="0.39997558519241921"/>
      </left>
      <right/>
      <top style="medium">
        <color theme="5" tint="0.39997558519241921"/>
      </top>
      <bottom/>
      <diagonal/>
    </border>
    <border>
      <left style="medium">
        <color theme="5"/>
      </left>
      <right/>
      <top style="medium">
        <color theme="5" tint="0.39997558519241921"/>
      </top>
      <bottom/>
      <diagonal/>
    </border>
    <border>
      <left style="medium">
        <color theme="5"/>
      </left>
      <right style="medium">
        <color theme="5" tint="0.39997558519241921"/>
      </right>
      <top style="medium">
        <color theme="5" tint="0.39997558519241921"/>
      </top>
      <bottom/>
      <diagonal/>
    </border>
    <border>
      <left style="medium">
        <color theme="5" tint="0.39997558519241921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 tint="0.39997558519241921"/>
      </right>
      <top style="medium">
        <color theme="5"/>
      </top>
      <bottom/>
      <diagonal/>
    </border>
    <border>
      <left/>
      <right style="medium">
        <color theme="5" tint="0.39997558519241921"/>
      </right>
      <top/>
      <bottom style="medium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medium">
        <color theme="5" tint="0.39997558519241921"/>
      </left>
      <right/>
      <top style="medium">
        <color theme="5"/>
      </top>
      <bottom style="medium">
        <color theme="5" tint="0.39997558519241921"/>
      </bottom>
      <diagonal/>
    </border>
    <border>
      <left style="medium">
        <color theme="5"/>
      </left>
      <right/>
      <top style="medium">
        <color theme="5"/>
      </top>
      <bottom style="medium">
        <color theme="5" tint="0.39997558519241921"/>
      </bottom>
      <diagonal/>
    </border>
    <border>
      <left style="medium">
        <color theme="5"/>
      </left>
      <right style="medium">
        <color theme="5" tint="0.39997558519241921"/>
      </right>
      <top style="medium">
        <color theme="5"/>
      </top>
      <bottom style="medium">
        <color theme="5" tint="0.39997558519241921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7" xfId="0" applyBorder="1"/>
    <xf numFmtId="0" fontId="0" fillId="0" borderId="2" xfId="0" quotePrefix="1" applyBorder="1"/>
    <xf numFmtId="0" fontId="0" fillId="2" borderId="3" xfId="0" applyFill="1" applyBorder="1"/>
    <xf numFmtId="0" fontId="0" fillId="3" borderId="3" xfId="0" applyFill="1" applyBorder="1"/>
    <xf numFmtId="0" fontId="0" fillId="4" borderId="0" xfId="0" applyFill="1"/>
    <xf numFmtId="0" fontId="0" fillId="4" borderId="3" xfId="0" applyFill="1" applyBorder="1"/>
    <xf numFmtId="0" fontId="0" fillId="4" borderId="5" xfId="0" applyFill="1" applyBorder="1"/>
    <xf numFmtId="0" fontId="0" fillId="0" borderId="3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0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0" xfId="0" applyFill="1" applyBorder="1"/>
    <xf numFmtId="0" fontId="0" fillId="4" borderId="14" xfId="0" applyFill="1" applyBorder="1"/>
    <xf numFmtId="0" fontId="0" fillId="0" borderId="6" xfId="0" applyFill="1" applyBorder="1"/>
    <xf numFmtId="0" fontId="0" fillId="4" borderId="15" xfId="0" applyFill="1" applyBorder="1"/>
    <xf numFmtId="0" fontId="0" fillId="0" borderId="16" xfId="0" applyFill="1" applyBorder="1"/>
    <xf numFmtId="0" fontId="0" fillId="0" borderId="5" xfId="0" applyFill="1" applyBorder="1"/>
    <xf numFmtId="0" fontId="0" fillId="0" borderId="0" xfId="0" applyFill="1"/>
    <xf numFmtId="0" fontId="0" fillId="0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3" borderId="0" xfId="0" applyFill="1"/>
    <xf numFmtId="0" fontId="0" fillId="5" borderId="0" xfId="0" applyFill="1"/>
    <xf numFmtId="0" fontId="0" fillId="4" borderId="21" xfId="0" applyFill="1" applyBorder="1"/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/>
    <xf numFmtId="0" fontId="0" fillId="6" borderId="34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1" fillId="0" borderId="0" xfId="0" applyFont="1" applyAlignment="1"/>
    <xf numFmtId="0" fontId="0" fillId="0" borderId="0" xfId="0" applyAlignment="1"/>
    <xf numFmtId="0" fontId="0" fillId="0" borderId="0" xfId="0" applyBorder="1" applyAlignment="1"/>
    <xf numFmtId="0" fontId="0" fillId="0" borderId="0" xfId="0" applyFill="1" applyBorder="1" applyAlignment="1"/>
    <xf numFmtId="0" fontId="0" fillId="0" borderId="37" xfId="0" applyBorder="1" applyAlignment="1"/>
    <xf numFmtId="0" fontId="0" fillId="0" borderId="38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7" borderId="0" xfId="0" applyFill="1" applyAlignment="1"/>
    <xf numFmtId="0" fontId="0" fillId="0" borderId="41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4" xfId="0" applyBorder="1"/>
    <xf numFmtId="0" fontId="3" fillId="0" borderId="0" xfId="0" applyFont="1" applyAlignment="1"/>
    <xf numFmtId="0" fontId="0" fillId="0" borderId="45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64" borderId="9" xfId="0" applyFill="1" applyBorder="1"/>
    <xf numFmtId="0" fontId="2" fillId="4" borderId="0" xfId="0" applyFont="1" applyFill="1" applyAlignment="1"/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6" borderId="0" xfId="0" applyFill="1"/>
  </cellXfs>
  <cellStyles count="1">
    <cellStyle name="Normal" xfId="0" builtinId="0"/>
  </cellStyles>
  <dxfs count="8"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C15"/>
  <sheetViews>
    <sheetView workbookViewId="0">
      <selection activeCell="W14" sqref="W14"/>
    </sheetView>
  </sheetViews>
  <sheetFormatPr defaultColWidth="2.7109375" defaultRowHeight="15"/>
  <cols>
    <col min="19" max="19" width="3" bestFit="1" customWidth="1"/>
    <col min="27" max="27" width="3" bestFit="1" customWidth="1"/>
  </cols>
  <sheetData>
    <row r="1" spans="1:55" ht="15.75" thickBot="1">
      <c r="A1" s="1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1</v>
      </c>
      <c r="M1" s="2">
        <v>1</v>
      </c>
      <c r="N1" s="2">
        <v>1</v>
      </c>
      <c r="O1" s="2">
        <v>1</v>
      </c>
      <c r="P1" s="2">
        <v>1</v>
      </c>
      <c r="Q1" s="2">
        <v>1</v>
      </c>
      <c r="R1" s="2">
        <v>1</v>
      </c>
      <c r="S1" s="2">
        <v>1</v>
      </c>
      <c r="T1" s="2">
        <v>1</v>
      </c>
      <c r="U1" s="2">
        <v>1</v>
      </c>
      <c r="V1" s="2">
        <v>1</v>
      </c>
      <c r="W1" s="2">
        <v>1</v>
      </c>
      <c r="X1" s="2">
        <v>1</v>
      </c>
      <c r="Y1" s="2">
        <v>1</v>
      </c>
      <c r="Z1" s="2">
        <v>1</v>
      </c>
      <c r="AA1" s="2">
        <v>1</v>
      </c>
      <c r="AB1" s="2">
        <v>1</v>
      </c>
      <c r="AC1" s="2">
        <v>1</v>
      </c>
      <c r="AD1" s="2">
        <v>1</v>
      </c>
      <c r="AE1" s="2">
        <v>1</v>
      </c>
      <c r="AF1" s="3">
        <v>1</v>
      </c>
      <c r="AG1" s="132" t="str">
        <f>CONCATENATE(AN1,AP1,AR1,AT1,AV1,AX1,AZ1,BB1,)</f>
        <v>001FFFFF</v>
      </c>
      <c r="AH1" s="133"/>
      <c r="AI1" s="133"/>
      <c r="AJ1" s="133"/>
      <c r="AK1" s="133"/>
      <c r="AL1" s="135"/>
      <c r="AM1" s="135"/>
      <c r="AN1" s="134" t="str">
        <f>BIN2HEX(CONCATENATE(A1,B1,C1,D1,),1)</f>
        <v>0</v>
      </c>
      <c r="AO1" s="132"/>
      <c r="AP1" s="134" t="str">
        <f>BIN2HEX(CONCATENATE(E1,F1,G1,H1,),1)</f>
        <v>0</v>
      </c>
      <c r="AQ1" s="132"/>
      <c r="AR1" s="134" t="str">
        <f>BIN2HEX(CONCATENATE(I1,J1,K1,L1,),1)</f>
        <v>1</v>
      </c>
      <c r="AS1" s="132"/>
      <c r="AT1" s="134" t="str">
        <f>BIN2HEX(CONCATENATE(M1,N1,O1,P1,),1)</f>
        <v>F</v>
      </c>
      <c r="AU1" s="132"/>
      <c r="AV1" s="134" t="str">
        <f>BIN2HEX(CONCATENATE(Q1,R1,S1,T1,),1)</f>
        <v>F</v>
      </c>
      <c r="AW1" s="132"/>
      <c r="AX1" s="134" t="str">
        <f>BIN2HEX(CONCATENATE(U1,V1,W1,X1,),1)</f>
        <v>F</v>
      </c>
      <c r="AY1" s="132"/>
      <c r="AZ1" s="134" t="str">
        <f>BIN2HEX(CONCATENATE(Y1,Z1,AA1,AB1,),1)</f>
        <v>F</v>
      </c>
      <c r="BA1" s="132"/>
      <c r="BB1" s="134" t="str">
        <f>BIN2HEX(CONCATENATE(AC1,AD1,AE1,AF1,),1)</f>
        <v>F</v>
      </c>
      <c r="BC1" s="132"/>
    </row>
    <row r="2" spans="1:55" ht="15.75" thickBot="1">
      <c r="A2" s="1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3">
        <v>0</v>
      </c>
      <c r="AG2" s="132" t="str">
        <f t="shared" ref="AG2:AG15" si="0">CONCATENATE(AN2,AP2,AR2,AT2,AV2,AX2,AZ2,BB2,)</f>
        <v>00000000</v>
      </c>
      <c r="AH2" s="133"/>
      <c r="AI2" s="133"/>
      <c r="AJ2" s="133"/>
      <c r="AK2" s="133"/>
      <c r="AN2" s="134" t="str">
        <f t="shared" ref="AN2:AN15" si="1">BIN2HEX(CONCATENATE(A2,B2,C2,D2,),1)</f>
        <v>0</v>
      </c>
      <c r="AO2" s="132"/>
      <c r="AP2" s="134" t="str">
        <f t="shared" ref="AP2:AP15" si="2">BIN2HEX(CONCATENATE(E2,F2,G2,H2,),1)</f>
        <v>0</v>
      </c>
      <c r="AQ2" s="132"/>
      <c r="AR2" s="134" t="str">
        <f t="shared" ref="AR2:AR15" si="3">BIN2HEX(CONCATENATE(I2,J2,K2,L2,),1)</f>
        <v>0</v>
      </c>
      <c r="AS2" s="132"/>
      <c r="AT2" s="134" t="str">
        <f t="shared" ref="AT2:AT15" si="4">BIN2HEX(CONCATENATE(M2,N2,O2,P2,),1)</f>
        <v>0</v>
      </c>
      <c r="AU2" s="132"/>
      <c r="AV2" s="134" t="str">
        <f t="shared" ref="AV2:AV15" si="5">BIN2HEX(CONCATENATE(Q2,R2,S2,T2,),1)</f>
        <v>0</v>
      </c>
      <c r="AW2" s="132"/>
      <c r="AX2" s="134" t="str">
        <f t="shared" ref="AX2:AX15" si="6">BIN2HEX(CONCATENATE(U2,V2,W2,X2,),1)</f>
        <v>0</v>
      </c>
      <c r="AY2" s="132"/>
      <c r="AZ2" s="134" t="str">
        <f t="shared" ref="AZ2:AZ15" si="7">BIN2HEX(CONCATENATE(Y2,Z2,AA2,AB2,),1)</f>
        <v>0</v>
      </c>
      <c r="BA2" s="132"/>
      <c r="BB2" s="134" t="str">
        <f t="shared" ref="BB2:BB15" si="8">BIN2HEX(CONCATENATE(AC2,AD2,AE2,AF2,),1)</f>
        <v>0</v>
      </c>
      <c r="BC2" s="132"/>
    </row>
    <row r="3" spans="1:55" ht="15.75" thickBot="1">
      <c r="A3" s="1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3">
        <v>0</v>
      </c>
      <c r="AG3" s="132" t="str">
        <f t="shared" si="0"/>
        <v>00000000</v>
      </c>
      <c r="AH3" s="133"/>
      <c r="AI3" s="133"/>
      <c r="AJ3" s="133"/>
      <c r="AK3" s="133"/>
      <c r="AN3" s="134" t="str">
        <f t="shared" si="1"/>
        <v>0</v>
      </c>
      <c r="AO3" s="132"/>
      <c r="AP3" s="134" t="str">
        <f t="shared" si="2"/>
        <v>0</v>
      </c>
      <c r="AQ3" s="132"/>
      <c r="AR3" s="134" t="str">
        <f t="shared" si="3"/>
        <v>0</v>
      </c>
      <c r="AS3" s="132"/>
      <c r="AT3" s="134" t="str">
        <f t="shared" si="4"/>
        <v>0</v>
      </c>
      <c r="AU3" s="132"/>
      <c r="AV3" s="134" t="str">
        <f t="shared" si="5"/>
        <v>0</v>
      </c>
      <c r="AW3" s="132"/>
      <c r="AX3" s="134" t="str">
        <f t="shared" si="6"/>
        <v>0</v>
      </c>
      <c r="AY3" s="132"/>
      <c r="AZ3" s="134" t="str">
        <f t="shared" si="7"/>
        <v>0</v>
      </c>
      <c r="BA3" s="132"/>
      <c r="BB3" s="134" t="str">
        <f t="shared" si="8"/>
        <v>0</v>
      </c>
      <c r="BC3" s="132"/>
    </row>
    <row r="4" spans="1:55" ht="15.75" thickBot="1">
      <c r="A4" s="1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3">
        <v>0</v>
      </c>
      <c r="AG4" s="132" t="str">
        <f t="shared" si="0"/>
        <v>00004000</v>
      </c>
      <c r="AH4" s="133"/>
      <c r="AI4" s="133"/>
      <c r="AJ4" s="133"/>
      <c r="AK4" s="133"/>
      <c r="AN4" s="134" t="str">
        <f t="shared" si="1"/>
        <v>0</v>
      </c>
      <c r="AO4" s="132"/>
      <c r="AP4" s="134" t="str">
        <f t="shared" si="2"/>
        <v>0</v>
      </c>
      <c r="AQ4" s="132"/>
      <c r="AR4" s="134" t="str">
        <f t="shared" si="3"/>
        <v>0</v>
      </c>
      <c r="AS4" s="132"/>
      <c r="AT4" s="134" t="str">
        <f t="shared" si="4"/>
        <v>0</v>
      </c>
      <c r="AU4" s="132"/>
      <c r="AV4" s="134" t="str">
        <f t="shared" si="5"/>
        <v>4</v>
      </c>
      <c r="AW4" s="132"/>
      <c r="AX4" s="134" t="str">
        <f t="shared" si="6"/>
        <v>0</v>
      </c>
      <c r="AY4" s="132"/>
      <c r="AZ4" s="134" t="str">
        <f t="shared" si="7"/>
        <v>0</v>
      </c>
      <c r="BA4" s="132"/>
      <c r="BB4" s="134" t="str">
        <f t="shared" si="8"/>
        <v>0</v>
      </c>
      <c r="BC4" s="132"/>
    </row>
    <row r="5" spans="1:55" ht="15.75" thickBot="1">
      <c r="A5" s="1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1</v>
      </c>
      <c r="Q5" s="2">
        <v>1</v>
      </c>
      <c r="R5" s="2">
        <v>1</v>
      </c>
      <c r="S5" s="2">
        <v>1</v>
      </c>
      <c r="T5" s="2">
        <v>1</v>
      </c>
      <c r="U5" s="2">
        <v>1</v>
      </c>
      <c r="V5" s="2">
        <v>1</v>
      </c>
      <c r="W5" s="2">
        <v>1</v>
      </c>
      <c r="X5" s="2">
        <v>1</v>
      </c>
      <c r="Y5" s="2">
        <v>1</v>
      </c>
      <c r="Z5" s="2">
        <v>1</v>
      </c>
      <c r="AA5" s="2">
        <v>1</v>
      </c>
      <c r="AB5" s="2">
        <v>1</v>
      </c>
      <c r="AC5" s="2">
        <v>1</v>
      </c>
      <c r="AD5" s="2">
        <v>1</v>
      </c>
      <c r="AE5" s="2">
        <v>1</v>
      </c>
      <c r="AF5" s="3">
        <v>1</v>
      </c>
      <c r="AG5" s="132" t="str">
        <f t="shared" si="0"/>
        <v>0001FFFF</v>
      </c>
      <c r="AH5" s="133"/>
      <c r="AI5" s="133"/>
      <c r="AJ5" s="133"/>
      <c r="AK5" s="133"/>
      <c r="AN5" s="134" t="str">
        <f t="shared" si="1"/>
        <v>0</v>
      </c>
      <c r="AO5" s="132"/>
      <c r="AP5" s="134" t="str">
        <f t="shared" si="2"/>
        <v>0</v>
      </c>
      <c r="AQ5" s="132"/>
      <c r="AR5" s="134" t="str">
        <f t="shared" si="3"/>
        <v>0</v>
      </c>
      <c r="AS5" s="132"/>
      <c r="AT5" s="134" t="str">
        <f t="shared" si="4"/>
        <v>1</v>
      </c>
      <c r="AU5" s="132"/>
      <c r="AV5" s="134" t="str">
        <f t="shared" si="5"/>
        <v>F</v>
      </c>
      <c r="AW5" s="132"/>
      <c r="AX5" s="134" t="str">
        <f t="shared" si="6"/>
        <v>F</v>
      </c>
      <c r="AY5" s="132"/>
      <c r="AZ5" s="134" t="str">
        <f t="shared" si="7"/>
        <v>F</v>
      </c>
      <c r="BA5" s="132"/>
      <c r="BB5" s="134" t="str">
        <f t="shared" si="8"/>
        <v>F</v>
      </c>
      <c r="BC5" s="132"/>
    </row>
    <row r="6" spans="1:55" ht="15.75" thickBot="1">
      <c r="A6" s="1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3">
        <v>0</v>
      </c>
      <c r="AG6" s="132" t="str">
        <f t="shared" si="0"/>
        <v>00004000</v>
      </c>
      <c r="AH6" s="133"/>
      <c r="AI6" s="133"/>
      <c r="AJ6" s="133"/>
      <c r="AK6" s="133"/>
      <c r="AN6" s="134" t="str">
        <f t="shared" si="1"/>
        <v>0</v>
      </c>
      <c r="AO6" s="132"/>
      <c r="AP6" s="134" t="str">
        <f t="shared" si="2"/>
        <v>0</v>
      </c>
      <c r="AQ6" s="132"/>
      <c r="AR6" s="134" t="str">
        <f t="shared" si="3"/>
        <v>0</v>
      </c>
      <c r="AS6" s="132"/>
      <c r="AT6" s="134" t="str">
        <f t="shared" si="4"/>
        <v>0</v>
      </c>
      <c r="AU6" s="132"/>
      <c r="AV6" s="134" t="str">
        <f t="shared" si="5"/>
        <v>4</v>
      </c>
      <c r="AW6" s="132"/>
      <c r="AX6" s="134" t="str">
        <f t="shared" si="6"/>
        <v>0</v>
      </c>
      <c r="AY6" s="132"/>
      <c r="AZ6" s="134" t="str">
        <f t="shared" si="7"/>
        <v>0</v>
      </c>
      <c r="BA6" s="132"/>
      <c r="BB6" s="134" t="str">
        <f t="shared" si="8"/>
        <v>0</v>
      </c>
      <c r="BC6" s="132"/>
    </row>
    <row r="7" spans="1:55" ht="15.75" thickBot="1">
      <c r="A7" s="1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3">
        <v>0</v>
      </c>
      <c r="AG7" s="132" t="str">
        <f t="shared" si="0"/>
        <v>00000000</v>
      </c>
      <c r="AH7" s="133"/>
      <c r="AI7" s="133"/>
      <c r="AJ7" s="133"/>
      <c r="AK7" s="133"/>
      <c r="AN7" s="134" t="str">
        <f t="shared" si="1"/>
        <v>0</v>
      </c>
      <c r="AO7" s="132"/>
      <c r="AP7" s="134" t="str">
        <f t="shared" si="2"/>
        <v>0</v>
      </c>
      <c r="AQ7" s="132"/>
      <c r="AR7" s="134" t="str">
        <f t="shared" si="3"/>
        <v>0</v>
      </c>
      <c r="AS7" s="132"/>
      <c r="AT7" s="134" t="str">
        <f t="shared" si="4"/>
        <v>0</v>
      </c>
      <c r="AU7" s="132"/>
      <c r="AV7" s="134" t="str">
        <f t="shared" si="5"/>
        <v>0</v>
      </c>
      <c r="AW7" s="132"/>
      <c r="AX7" s="134" t="str">
        <f t="shared" si="6"/>
        <v>0</v>
      </c>
      <c r="AY7" s="132"/>
      <c r="AZ7" s="134" t="str">
        <f t="shared" si="7"/>
        <v>0</v>
      </c>
      <c r="BA7" s="132"/>
      <c r="BB7" s="134" t="str">
        <f t="shared" si="8"/>
        <v>0</v>
      </c>
      <c r="BC7" s="132"/>
    </row>
    <row r="8" spans="1:55" ht="15.75" thickBot="1">
      <c r="A8" s="1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3">
        <v>0</v>
      </c>
      <c r="AG8" s="132" t="str">
        <f t="shared" si="0"/>
        <v>00000000</v>
      </c>
      <c r="AH8" s="133"/>
      <c r="AI8" s="133"/>
      <c r="AJ8" s="133"/>
      <c r="AK8" s="133"/>
      <c r="AN8" s="134" t="str">
        <f t="shared" si="1"/>
        <v>0</v>
      </c>
      <c r="AO8" s="132"/>
      <c r="AP8" s="134" t="str">
        <f t="shared" si="2"/>
        <v>0</v>
      </c>
      <c r="AQ8" s="132"/>
      <c r="AR8" s="134" t="str">
        <f t="shared" si="3"/>
        <v>0</v>
      </c>
      <c r="AS8" s="132"/>
      <c r="AT8" s="134" t="str">
        <f t="shared" si="4"/>
        <v>0</v>
      </c>
      <c r="AU8" s="132"/>
      <c r="AV8" s="134" t="str">
        <f t="shared" si="5"/>
        <v>0</v>
      </c>
      <c r="AW8" s="132"/>
      <c r="AX8" s="134" t="str">
        <f t="shared" si="6"/>
        <v>0</v>
      </c>
      <c r="AY8" s="132"/>
      <c r="AZ8" s="134" t="str">
        <f t="shared" si="7"/>
        <v>0</v>
      </c>
      <c r="BA8" s="132"/>
      <c r="BB8" s="134" t="str">
        <f t="shared" si="8"/>
        <v>0</v>
      </c>
      <c r="BC8" s="132"/>
    </row>
    <row r="9" spans="1:55" ht="15.75" thickBot="1">
      <c r="A9" s="1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3">
        <v>0</v>
      </c>
      <c r="AG9" s="132" t="str">
        <f t="shared" si="0"/>
        <v>00000000</v>
      </c>
      <c r="AH9" s="133"/>
      <c r="AI9" s="133"/>
      <c r="AJ9" s="133"/>
      <c r="AK9" s="133"/>
      <c r="AN9" s="134" t="str">
        <f t="shared" si="1"/>
        <v>0</v>
      </c>
      <c r="AO9" s="132"/>
      <c r="AP9" s="134" t="str">
        <f t="shared" si="2"/>
        <v>0</v>
      </c>
      <c r="AQ9" s="132"/>
      <c r="AR9" s="134" t="str">
        <f t="shared" si="3"/>
        <v>0</v>
      </c>
      <c r="AS9" s="132"/>
      <c r="AT9" s="134" t="str">
        <f t="shared" si="4"/>
        <v>0</v>
      </c>
      <c r="AU9" s="132"/>
      <c r="AV9" s="134" t="str">
        <f t="shared" si="5"/>
        <v>0</v>
      </c>
      <c r="AW9" s="132"/>
      <c r="AX9" s="134" t="str">
        <f t="shared" si="6"/>
        <v>0</v>
      </c>
      <c r="AY9" s="132"/>
      <c r="AZ9" s="134" t="str">
        <f t="shared" si="7"/>
        <v>0</v>
      </c>
      <c r="BA9" s="132"/>
      <c r="BB9" s="134" t="str">
        <f t="shared" si="8"/>
        <v>0</v>
      </c>
      <c r="BC9" s="132"/>
    </row>
    <row r="10" spans="1:55" ht="15.75" thickBot="1">
      <c r="A10" s="1">
        <v>0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3">
        <v>0</v>
      </c>
      <c r="AG10" s="132" t="str">
        <f t="shared" si="0"/>
        <v>00000200</v>
      </c>
      <c r="AH10" s="133"/>
      <c r="AI10" s="133"/>
      <c r="AJ10" s="133"/>
      <c r="AK10" s="133"/>
      <c r="AN10" s="134" t="str">
        <f t="shared" si="1"/>
        <v>0</v>
      </c>
      <c r="AO10" s="132"/>
      <c r="AP10" s="134" t="str">
        <f t="shared" si="2"/>
        <v>0</v>
      </c>
      <c r="AQ10" s="132"/>
      <c r="AR10" s="134" t="str">
        <f t="shared" si="3"/>
        <v>0</v>
      </c>
      <c r="AS10" s="132"/>
      <c r="AT10" s="134" t="str">
        <f t="shared" si="4"/>
        <v>0</v>
      </c>
      <c r="AU10" s="132"/>
      <c r="AV10" s="134" t="str">
        <f t="shared" si="5"/>
        <v>0</v>
      </c>
      <c r="AW10" s="132"/>
      <c r="AX10" s="134" t="str">
        <f t="shared" si="6"/>
        <v>2</v>
      </c>
      <c r="AY10" s="132"/>
      <c r="AZ10" s="134" t="str">
        <f t="shared" si="7"/>
        <v>0</v>
      </c>
      <c r="BA10" s="132"/>
      <c r="BB10" s="134" t="str">
        <f t="shared" si="8"/>
        <v>0</v>
      </c>
      <c r="BC10" s="132"/>
    </row>
    <row r="11" spans="1:55" ht="15.75" thickBot="1">
      <c r="A11" s="1">
        <v>0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</v>
      </c>
      <c r="V11" s="2">
        <v>1</v>
      </c>
      <c r="W11" s="2">
        <v>1</v>
      </c>
      <c r="X11" s="2">
        <v>1</v>
      </c>
      <c r="Y11" s="2">
        <v>1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1</v>
      </c>
      <c r="AF11" s="3">
        <v>1</v>
      </c>
      <c r="AG11" s="132" t="str">
        <f t="shared" si="0"/>
        <v>00000FFF</v>
      </c>
      <c r="AH11" s="133"/>
      <c r="AI11" s="133"/>
      <c r="AJ11" s="133"/>
      <c r="AK11" s="133"/>
      <c r="AN11" s="134" t="str">
        <f t="shared" si="1"/>
        <v>0</v>
      </c>
      <c r="AO11" s="132"/>
      <c r="AP11" s="134" t="str">
        <f t="shared" si="2"/>
        <v>0</v>
      </c>
      <c r="AQ11" s="132"/>
      <c r="AR11" s="134" t="str">
        <f t="shared" si="3"/>
        <v>0</v>
      </c>
      <c r="AS11" s="132"/>
      <c r="AT11" s="134" t="str">
        <f t="shared" si="4"/>
        <v>0</v>
      </c>
      <c r="AU11" s="132"/>
      <c r="AV11" s="134" t="str">
        <f t="shared" si="5"/>
        <v>0</v>
      </c>
      <c r="AW11" s="132"/>
      <c r="AX11" s="134" t="str">
        <f t="shared" si="6"/>
        <v>F</v>
      </c>
      <c r="AY11" s="132"/>
      <c r="AZ11" s="134" t="str">
        <f t="shared" si="7"/>
        <v>F</v>
      </c>
      <c r="BA11" s="132"/>
      <c r="BB11" s="134" t="str">
        <f t="shared" si="8"/>
        <v>F</v>
      </c>
      <c r="BC11" s="132"/>
    </row>
    <row r="12" spans="1:55" ht="15.75" thickBot="1">
      <c r="A12" s="1">
        <v>0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1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3">
        <v>0</v>
      </c>
      <c r="AG12" s="132" t="str">
        <f t="shared" si="0"/>
        <v>00000200</v>
      </c>
      <c r="AH12" s="133"/>
      <c r="AI12" s="133"/>
      <c r="AJ12" s="133"/>
      <c r="AK12" s="133"/>
      <c r="AN12" s="134" t="str">
        <f t="shared" si="1"/>
        <v>0</v>
      </c>
      <c r="AO12" s="132"/>
      <c r="AP12" s="134" t="str">
        <f t="shared" si="2"/>
        <v>0</v>
      </c>
      <c r="AQ12" s="132"/>
      <c r="AR12" s="134" t="str">
        <f t="shared" si="3"/>
        <v>0</v>
      </c>
      <c r="AS12" s="132"/>
      <c r="AT12" s="134" t="str">
        <f t="shared" si="4"/>
        <v>0</v>
      </c>
      <c r="AU12" s="132"/>
      <c r="AV12" s="134" t="str">
        <f t="shared" si="5"/>
        <v>0</v>
      </c>
      <c r="AW12" s="132"/>
      <c r="AX12" s="134" t="str">
        <f t="shared" si="6"/>
        <v>2</v>
      </c>
      <c r="AY12" s="132"/>
      <c r="AZ12" s="134" t="str">
        <f t="shared" si="7"/>
        <v>0</v>
      </c>
      <c r="BA12" s="132"/>
      <c r="BB12" s="134" t="str">
        <f t="shared" si="8"/>
        <v>0</v>
      </c>
      <c r="BC12" s="132"/>
    </row>
    <row r="13" spans="1:55" ht="15.75" thickBot="1">
      <c r="A13" s="1">
        <v>0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3">
        <v>0</v>
      </c>
      <c r="AG13" s="132" t="str">
        <f t="shared" si="0"/>
        <v>00000000</v>
      </c>
      <c r="AH13" s="133"/>
      <c r="AI13" s="133"/>
      <c r="AJ13" s="133"/>
      <c r="AK13" s="133"/>
      <c r="AN13" s="134" t="str">
        <f t="shared" si="1"/>
        <v>0</v>
      </c>
      <c r="AO13" s="132"/>
      <c r="AP13" s="134" t="str">
        <f t="shared" si="2"/>
        <v>0</v>
      </c>
      <c r="AQ13" s="132"/>
      <c r="AR13" s="134" t="str">
        <f t="shared" si="3"/>
        <v>0</v>
      </c>
      <c r="AS13" s="132"/>
      <c r="AT13" s="134" t="str">
        <f t="shared" si="4"/>
        <v>0</v>
      </c>
      <c r="AU13" s="132"/>
      <c r="AV13" s="134" t="str">
        <f t="shared" si="5"/>
        <v>0</v>
      </c>
      <c r="AW13" s="132"/>
      <c r="AX13" s="134" t="str">
        <f t="shared" si="6"/>
        <v>0</v>
      </c>
      <c r="AY13" s="132"/>
      <c r="AZ13" s="134" t="str">
        <f t="shared" si="7"/>
        <v>0</v>
      </c>
      <c r="BA13" s="132"/>
      <c r="BB13" s="134" t="str">
        <f t="shared" si="8"/>
        <v>0</v>
      </c>
      <c r="BC13" s="132"/>
    </row>
    <row r="14" spans="1:55" ht="15.75" thickBot="1">
      <c r="A14" s="1">
        <v>0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3">
        <v>0</v>
      </c>
      <c r="AG14" s="132" t="str">
        <f t="shared" si="0"/>
        <v>00000000</v>
      </c>
      <c r="AH14" s="133"/>
      <c r="AI14" s="133"/>
      <c r="AJ14" s="133"/>
      <c r="AK14" s="133"/>
      <c r="AN14" s="134" t="str">
        <f t="shared" si="1"/>
        <v>0</v>
      </c>
      <c r="AO14" s="132"/>
      <c r="AP14" s="134" t="str">
        <f t="shared" si="2"/>
        <v>0</v>
      </c>
      <c r="AQ14" s="132"/>
      <c r="AR14" s="134" t="str">
        <f t="shared" si="3"/>
        <v>0</v>
      </c>
      <c r="AS14" s="132"/>
      <c r="AT14" s="134" t="str">
        <f t="shared" si="4"/>
        <v>0</v>
      </c>
      <c r="AU14" s="132"/>
      <c r="AV14" s="134" t="str">
        <f t="shared" si="5"/>
        <v>0</v>
      </c>
      <c r="AW14" s="132"/>
      <c r="AX14" s="134" t="str">
        <f t="shared" si="6"/>
        <v>0</v>
      </c>
      <c r="AY14" s="132"/>
      <c r="AZ14" s="134" t="str">
        <f t="shared" si="7"/>
        <v>0</v>
      </c>
      <c r="BA14" s="132"/>
      <c r="BB14" s="134" t="str">
        <f t="shared" si="8"/>
        <v>0</v>
      </c>
      <c r="BC14" s="132"/>
    </row>
    <row r="15" spans="1:55" ht="15.75" thickBot="1">
      <c r="A15" s="1">
        <v>0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3">
        <v>0</v>
      </c>
      <c r="AG15" s="132" t="str">
        <f t="shared" si="0"/>
        <v>00000000</v>
      </c>
      <c r="AH15" s="133"/>
      <c r="AI15" s="133"/>
      <c r="AJ15" s="133"/>
      <c r="AK15" s="133"/>
      <c r="AN15" s="134" t="str">
        <f t="shared" si="1"/>
        <v>0</v>
      </c>
      <c r="AO15" s="132"/>
      <c r="AP15" s="134" t="str">
        <f t="shared" si="2"/>
        <v>0</v>
      </c>
      <c r="AQ15" s="132"/>
      <c r="AR15" s="134" t="str">
        <f t="shared" si="3"/>
        <v>0</v>
      </c>
      <c r="AS15" s="132"/>
      <c r="AT15" s="134" t="str">
        <f t="shared" si="4"/>
        <v>0</v>
      </c>
      <c r="AU15" s="132"/>
      <c r="AV15" s="134" t="str">
        <f t="shared" si="5"/>
        <v>0</v>
      </c>
      <c r="AW15" s="132"/>
      <c r="AX15" s="134" t="str">
        <f t="shared" si="6"/>
        <v>0</v>
      </c>
      <c r="AY15" s="132"/>
      <c r="AZ15" s="134" t="str">
        <f t="shared" si="7"/>
        <v>0</v>
      </c>
      <c r="BA15" s="132"/>
      <c r="BB15" s="134" t="str">
        <f t="shared" si="8"/>
        <v>0</v>
      </c>
      <c r="BC15" s="132"/>
    </row>
  </sheetData>
  <mergeCells count="136">
    <mergeCell ref="AX15:AY15"/>
    <mergeCell ref="AZ15:BA15"/>
    <mergeCell ref="BB15:BC15"/>
    <mergeCell ref="AN15:AO15"/>
    <mergeCell ref="AP15:AQ15"/>
    <mergeCell ref="AR15:AS15"/>
    <mergeCell ref="AT15:AU15"/>
    <mergeCell ref="AV15:AW15"/>
    <mergeCell ref="BB13:BC13"/>
    <mergeCell ref="AN14:AO14"/>
    <mergeCell ref="AP14:AQ14"/>
    <mergeCell ref="AR14:AS14"/>
    <mergeCell ref="AT14:AU14"/>
    <mergeCell ref="AV14:AW14"/>
    <mergeCell ref="AX14:AY14"/>
    <mergeCell ref="AZ14:BA14"/>
    <mergeCell ref="BB14:BC14"/>
    <mergeCell ref="AR13:AS13"/>
    <mergeCell ref="AT13:AU13"/>
    <mergeCell ref="AV13:AW13"/>
    <mergeCell ref="AX13:AY13"/>
    <mergeCell ref="AZ13:BA13"/>
    <mergeCell ref="BB11:BC11"/>
    <mergeCell ref="AN12:AO12"/>
    <mergeCell ref="AP12:AQ12"/>
    <mergeCell ref="AR12:AS12"/>
    <mergeCell ref="AT12:AU12"/>
    <mergeCell ref="AV12:AW12"/>
    <mergeCell ref="AX12:AY12"/>
    <mergeCell ref="AZ12:BA12"/>
    <mergeCell ref="BB12:BC12"/>
    <mergeCell ref="AR11:AS11"/>
    <mergeCell ref="AT11:AU11"/>
    <mergeCell ref="AV11:AW11"/>
    <mergeCell ref="AX11:AY11"/>
    <mergeCell ref="AZ11:BA11"/>
    <mergeCell ref="BB9:BC9"/>
    <mergeCell ref="AN10:AO10"/>
    <mergeCell ref="AP10:AQ10"/>
    <mergeCell ref="AR10:AS10"/>
    <mergeCell ref="AT10:AU10"/>
    <mergeCell ref="AV10:AW10"/>
    <mergeCell ref="AX10:AY10"/>
    <mergeCell ref="AZ10:BA10"/>
    <mergeCell ref="BB10:BC10"/>
    <mergeCell ref="AR9:AS9"/>
    <mergeCell ref="AT9:AU9"/>
    <mergeCell ref="AV9:AW9"/>
    <mergeCell ref="AX9:AY9"/>
    <mergeCell ref="AZ9:BA9"/>
    <mergeCell ref="BB7:BC7"/>
    <mergeCell ref="AN8:AO8"/>
    <mergeCell ref="AP8:AQ8"/>
    <mergeCell ref="AR8:AS8"/>
    <mergeCell ref="AT8:AU8"/>
    <mergeCell ref="AV8:AW8"/>
    <mergeCell ref="AX8:AY8"/>
    <mergeCell ref="AZ8:BA8"/>
    <mergeCell ref="BB8:BC8"/>
    <mergeCell ref="AR7:AS7"/>
    <mergeCell ref="AT7:AU7"/>
    <mergeCell ref="AV7:AW7"/>
    <mergeCell ref="AX7:AY7"/>
    <mergeCell ref="AZ7:BA7"/>
    <mergeCell ref="BB5:BC5"/>
    <mergeCell ref="AN6:AO6"/>
    <mergeCell ref="AP6:AQ6"/>
    <mergeCell ref="AR6:AS6"/>
    <mergeCell ref="AT6:AU6"/>
    <mergeCell ref="AV6:AW6"/>
    <mergeCell ref="AX6:AY6"/>
    <mergeCell ref="AZ6:BA6"/>
    <mergeCell ref="BB6:BC6"/>
    <mergeCell ref="AR5:AS5"/>
    <mergeCell ref="AT5:AU5"/>
    <mergeCell ref="AV5:AW5"/>
    <mergeCell ref="AX5:AY5"/>
    <mergeCell ref="AZ5:BA5"/>
    <mergeCell ref="AT4:AU4"/>
    <mergeCell ref="AV4:AW4"/>
    <mergeCell ref="AX4:AY4"/>
    <mergeCell ref="AZ4:BA4"/>
    <mergeCell ref="BB4:BC4"/>
    <mergeCell ref="AR3:AS3"/>
    <mergeCell ref="AT3:AU3"/>
    <mergeCell ref="AV3:AW3"/>
    <mergeCell ref="AX3:AY3"/>
    <mergeCell ref="AZ3:BA3"/>
    <mergeCell ref="AG8:AK8"/>
    <mergeCell ref="AG9:AK9"/>
    <mergeCell ref="AG10:AK10"/>
    <mergeCell ref="AG11:AK11"/>
    <mergeCell ref="AG12:AK12"/>
    <mergeCell ref="AG1:AK1"/>
    <mergeCell ref="BB1:BC1"/>
    <mergeCell ref="AN2:AO2"/>
    <mergeCell ref="AP2:AQ2"/>
    <mergeCell ref="AR2:AS2"/>
    <mergeCell ref="AT2:AU2"/>
    <mergeCell ref="AV2:AW2"/>
    <mergeCell ref="AX2:AY2"/>
    <mergeCell ref="AZ2:BA2"/>
    <mergeCell ref="BB2:BC2"/>
    <mergeCell ref="AR1:AS1"/>
    <mergeCell ref="AT1:AU1"/>
    <mergeCell ref="AV1:AW1"/>
    <mergeCell ref="AX1:AY1"/>
    <mergeCell ref="AZ1:BA1"/>
    <mergeCell ref="BB3:BC3"/>
    <mergeCell ref="AN4:AO4"/>
    <mergeCell ref="AP4:AQ4"/>
    <mergeCell ref="AR4:AS4"/>
    <mergeCell ref="AG2:AK2"/>
    <mergeCell ref="AG3:AK3"/>
    <mergeCell ref="AG4:AK4"/>
    <mergeCell ref="AG5:AK5"/>
    <mergeCell ref="AG6:AK6"/>
    <mergeCell ref="AP13:AQ13"/>
    <mergeCell ref="AG15:AK15"/>
    <mergeCell ref="AL1:AM1"/>
    <mergeCell ref="AN1:AO1"/>
    <mergeCell ref="AP1:AQ1"/>
    <mergeCell ref="AN3:AO3"/>
    <mergeCell ref="AP3:AQ3"/>
    <mergeCell ref="AN5:AO5"/>
    <mergeCell ref="AP5:AQ5"/>
    <mergeCell ref="AN7:AO7"/>
    <mergeCell ref="AP7:AQ7"/>
    <mergeCell ref="AN9:AO9"/>
    <mergeCell ref="AP9:AQ9"/>
    <mergeCell ref="AN11:AO11"/>
    <mergeCell ref="AP11:AQ11"/>
    <mergeCell ref="AN13:AO13"/>
    <mergeCell ref="AG13:AK13"/>
    <mergeCell ref="AG14:AK14"/>
    <mergeCell ref="AG7:AK7"/>
  </mergeCells>
  <conditionalFormatting sqref="A1:AF15">
    <cfRule type="expression" dxfId="7" priority="1">
      <formula>A1=1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BU65"/>
  <sheetViews>
    <sheetView workbookViewId="0">
      <selection sqref="A1:M15"/>
    </sheetView>
  </sheetViews>
  <sheetFormatPr defaultRowHeight="15"/>
  <cols>
    <col min="1" max="65" width="2.7109375" customWidth="1"/>
  </cols>
  <sheetData>
    <row r="1" spans="1:73">
      <c r="AG1" s="5">
        <v>0</v>
      </c>
      <c r="BP1" t="s">
        <v>0</v>
      </c>
      <c r="BQ1" t="s">
        <v>1</v>
      </c>
      <c r="BR1" t="s">
        <v>2</v>
      </c>
    </row>
    <row r="2" spans="1:73">
      <c r="AG2" s="6">
        <v>1</v>
      </c>
      <c r="BP2">
        <v>32</v>
      </c>
      <c r="BQ2">
        <v>0</v>
      </c>
      <c r="BR2">
        <f>SQRT(BP2*BP2+BQ2*BQ2)</f>
        <v>32</v>
      </c>
      <c r="BS2">
        <f>IF(BR2&lt;=32,BR2,"")</f>
        <v>32</v>
      </c>
    </row>
    <row r="3" spans="1:73">
      <c r="AG3" s="6">
        <v>2</v>
      </c>
      <c r="BP3">
        <f>BP2</f>
        <v>32</v>
      </c>
      <c r="BQ3">
        <v>2</v>
      </c>
      <c r="BR3">
        <f t="shared" ref="BR3:BR33" si="0">SQRT(BP3*BP3+BQ3*BQ3)</f>
        <v>32.062439083762797</v>
      </c>
    </row>
    <row r="4" spans="1:73">
      <c r="AB4" s="7"/>
      <c r="AC4" s="7"/>
      <c r="AD4" s="8"/>
      <c r="AE4" s="8"/>
      <c r="AF4" s="8"/>
      <c r="AG4" s="5">
        <v>3</v>
      </c>
      <c r="AH4" s="8"/>
      <c r="AI4" s="9"/>
      <c r="AJ4" s="8"/>
      <c r="AK4" s="7"/>
      <c r="AL4" s="7"/>
      <c r="BP4">
        <f t="shared" ref="BP4:BP33" si="1">BP3</f>
        <v>32</v>
      </c>
      <c r="BQ4">
        <v>3</v>
      </c>
      <c r="BR4">
        <f t="shared" si="0"/>
        <v>32.140317359976393</v>
      </c>
      <c r="BT4">
        <f>SQRT(ROW()^2+COLUMN()^2)</f>
        <v>72.111025509279784</v>
      </c>
    </row>
    <row r="5" spans="1:73">
      <c r="Y5" t="s">
        <v>3</v>
      </c>
      <c r="Z5">
        <v>11</v>
      </c>
      <c r="AB5" s="7"/>
      <c r="AC5" s="7"/>
      <c r="AD5" s="7"/>
      <c r="AE5" s="7"/>
      <c r="AF5" s="8"/>
      <c r="AG5" s="6">
        <v>4</v>
      </c>
      <c r="AH5" s="7"/>
      <c r="AI5" s="7"/>
      <c r="AJ5" s="11"/>
      <c r="AK5" s="7"/>
      <c r="AL5" s="7"/>
      <c r="BP5">
        <f t="shared" si="1"/>
        <v>32</v>
      </c>
      <c r="BQ5">
        <v>4</v>
      </c>
      <c r="BR5">
        <f t="shared" si="0"/>
        <v>32.249030993194197</v>
      </c>
    </row>
    <row r="6" spans="1:73">
      <c r="AB6" s="7"/>
      <c r="AC6" s="7"/>
      <c r="AD6" s="7"/>
      <c r="AE6" s="7"/>
      <c r="AF6" s="8"/>
      <c r="AG6" s="5">
        <v>5</v>
      </c>
      <c r="AH6" s="8"/>
      <c r="AI6" s="8"/>
      <c r="AJ6" s="8"/>
      <c r="AK6" s="7"/>
      <c r="AL6" s="7"/>
      <c r="BP6">
        <f t="shared" si="1"/>
        <v>32</v>
      </c>
      <c r="BQ6">
        <v>5</v>
      </c>
      <c r="BR6">
        <f t="shared" si="0"/>
        <v>32.388269481403292</v>
      </c>
    </row>
    <row r="7" spans="1:73">
      <c r="AB7" s="7"/>
      <c r="AC7" s="7"/>
      <c r="AD7" s="7"/>
      <c r="AE7" s="7"/>
      <c r="AF7" s="8"/>
      <c r="AG7" s="6">
        <v>6</v>
      </c>
      <c r="AH7" s="12"/>
      <c r="AI7" s="7"/>
      <c r="AJ7" s="7"/>
      <c r="AK7" s="7"/>
      <c r="AL7" s="7"/>
      <c r="BP7">
        <f t="shared" si="1"/>
        <v>32</v>
      </c>
      <c r="BQ7">
        <v>6</v>
      </c>
      <c r="BR7">
        <f t="shared" si="0"/>
        <v>32.557641192199412</v>
      </c>
    </row>
    <row r="8" spans="1:73">
      <c r="AB8" s="7"/>
      <c r="AC8" s="7"/>
      <c r="AD8" s="7"/>
      <c r="AE8" s="7"/>
      <c r="AF8" s="8"/>
      <c r="AG8" s="6">
        <v>7</v>
      </c>
      <c r="AH8" s="8"/>
      <c r="AI8" s="8"/>
      <c r="AJ8" s="8"/>
      <c r="AK8" s="7"/>
      <c r="AL8" s="7"/>
      <c r="BP8">
        <f t="shared" si="1"/>
        <v>32</v>
      </c>
      <c r="BQ8">
        <v>7</v>
      </c>
      <c r="BR8">
        <f t="shared" si="0"/>
        <v>32.756678708318397</v>
      </c>
    </row>
    <row r="9" spans="1:73">
      <c r="A9" t="s">
        <v>4</v>
      </c>
      <c r="AB9" s="7"/>
      <c r="AC9" s="7"/>
      <c r="AD9" s="7"/>
      <c r="AE9" s="7"/>
      <c r="AF9" s="7"/>
      <c r="AG9" s="5">
        <v>8</v>
      </c>
      <c r="AH9" s="7"/>
      <c r="AI9" s="7"/>
      <c r="AJ9" s="7"/>
      <c r="AK9" s="7"/>
      <c r="AL9" s="7"/>
      <c r="BP9">
        <f t="shared" si="1"/>
        <v>32</v>
      </c>
      <c r="BQ9">
        <v>8</v>
      </c>
      <c r="BR9">
        <f t="shared" si="0"/>
        <v>32.984845004941285</v>
      </c>
      <c r="BU9">
        <f>2^2</f>
        <v>4</v>
      </c>
    </row>
    <row r="10" spans="1:73">
      <c r="AB10" s="7"/>
      <c r="AC10" s="7"/>
      <c r="AD10" s="7"/>
      <c r="AE10" s="7"/>
      <c r="AF10" s="7"/>
      <c r="AG10" s="6">
        <v>9</v>
      </c>
      <c r="AH10" s="7"/>
      <c r="AI10" s="7"/>
      <c r="AJ10" s="7"/>
      <c r="AK10" s="7"/>
      <c r="AL10" s="7"/>
      <c r="BP10">
        <f t="shared" si="1"/>
        <v>32</v>
      </c>
      <c r="BQ10">
        <v>9</v>
      </c>
      <c r="BR10">
        <f t="shared" si="0"/>
        <v>33.241540277189323</v>
      </c>
    </row>
    <row r="11" spans="1:73">
      <c r="S11">
        <f>100/6</f>
        <v>16.666666666666668</v>
      </c>
      <c r="AB11">
        <v>28</v>
      </c>
      <c r="AC11" t="s">
        <v>5</v>
      </c>
      <c r="AD11">
        <v>32</v>
      </c>
      <c r="AG11" s="5">
        <v>10</v>
      </c>
      <c r="BP11">
        <f t="shared" si="1"/>
        <v>32</v>
      </c>
      <c r="BQ11">
        <v>10</v>
      </c>
      <c r="BR11">
        <f t="shared" si="0"/>
        <v>33.526109228480422</v>
      </c>
    </row>
    <row r="12" spans="1:73">
      <c r="S12">
        <f>36/8</f>
        <v>4.5</v>
      </c>
      <c r="AG12" s="6">
        <v>11</v>
      </c>
      <c r="AI12">
        <v>34</v>
      </c>
      <c r="AK12">
        <v>38</v>
      </c>
      <c r="BP12">
        <f t="shared" si="1"/>
        <v>32</v>
      </c>
      <c r="BQ12">
        <v>11</v>
      </c>
      <c r="BR12">
        <f t="shared" si="0"/>
        <v>33.837848631377263</v>
      </c>
    </row>
    <row r="13" spans="1:73">
      <c r="M13">
        <v>0</v>
      </c>
      <c r="N13">
        <v>1</v>
      </c>
      <c r="O13">
        <v>2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9</v>
      </c>
      <c r="W13">
        <v>10</v>
      </c>
      <c r="X13">
        <v>11</v>
      </c>
      <c r="Y13">
        <v>12</v>
      </c>
      <c r="Z13">
        <v>13</v>
      </c>
      <c r="AA13">
        <v>14</v>
      </c>
      <c r="AB13">
        <v>15</v>
      </c>
      <c r="AC13">
        <v>16</v>
      </c>
      <c r="AD13">
        <v>17</v>
      </c>
      <c r="AE13">
        <v>18</v>
      </c>
      <c r="AF13">
        <v>19</v>
      </c>
      <c r="AG13" s="6">
        <v>12</v>
      </c>
      <c r="AH13">
        <v>21</v>
      </c>
      <c r="AI13">
        <v>22</v>
      </c>
      <c r="AJ13">
        <v>23</v>
      </c>
      <c r="AK13">
        <v>24</v>
      </c>
      <c r="AL13">
        <v>25</v>
      </c>
      <c r="AM13">
        <v>26</v>
      </c>
      <c r="AN13">
        <v>27</v>
      </c>
      <c r="AO13">
        <v>28</v>
      </c>
      <c r="AP13">
        <v>29</v>
      </c>
      <c r="AQ13">
        <v>30</v>
      </c>
      <c r="AR13">
        <v>31</v>
      </c>
      <c r="AS13">
        <v>32</v>
      </c>
      <c r="AT13">
        <v>33</v>
      </c>
      <c r="AU13">
        <v>34</v>
      </c>
      <c r="AV13">
        <v>35</v>
      </c>
      <c r="AW13">
        <v>36</v>
      </c>
      <c r="AX13">
        <v>37</v>
      </c>
      <c r="AY13">
        <v>38</v>
      </c>
      <c r="AZ13">
        <v>39</v>
      </c>
      <c r="BP13">
        <f t="shared" si="1"/>
        <v>32</v>
      </c>
      <c r="BQ13">
        <v>12</v>
      </c>
      <c r="BR13">
        <f t="shared" si="0"/>
        <v>34.176014981270121</v>
      </c>
    </row>
    <row r="14" spans="1:73">
      <c r="L14">
        <v>0</v>
      </c>
      <c r="M14" s="137"/>
      <c r="AG14" s="5">
        <v>13</v>
      </c>
      <c r="BP14">
        <f t="shared" si="1"/>
        <v>32</v>
      </c>
      <c r="BQ14">
        <v>13</v>
      </c>
      <c r="BR14">
        <f t="shared" si="0"/>
        <v>34.539832078341085</v>
      </c>
      <c r="BU14">
        <f>ROW()</f>
        <v>14</v>
      </c>
    </row>
    <row r="15" spans="1:73">
      <c r="L15">
        <v>1</v>
      </c>
      <c r="AG15" s="6">
        <v>14</v>
      </c>
      <c r="BP15">
        <f t="shared" si="1"/>
        <v>32</v>
      </c>
      <c r="BQ15">
        <v>14</v>
      </c>
      <c r="BR15">
        <f t="shared" si="0"/>
        <v>34.928498393145958</v>
      </c>
      <c r="BU15">
        <f>COLUMN()</f>
        <v>73</v>
      </c>
    </row>
    <row r="16" spans="1:73">
      <c r="L16">
        <v>2</v>
      </c>
      <c r="AG16" s="5">
        <v>15</v>
      </c>
      <c r="AL16" s="137"/>
      <c r="BP16">
        <f t="shared" si="1"/>
        <v>32</v>
      </c>
      <c r="BQ16">
        <v>15</v>
      </c>
      <c r="BR16">
        <f t="shared" si="0"/>
        <v>35.341194094144583</v>
      </c>
    </row>
    <row r="17" spans="4:70">
      <c r="L17">
        <v>3</v>
      </c>
      <c r="AG17" s="6">
        <v>16</v>
      </c>
      <c r="BP17">
        <f t="shared" si="1"/>
        <v>32</v>
      </c>
      <c r="BQ17">
        <v>16</v>
      </c>
      <c r="BR17">
        <f t="shared" si="0"/>
        <v>35.777087639996637</v>
      </c>
    </row>
    <row r="18" spans="4:70">
      <c r="L18">
        <v>4</v>
      </c>
      <c r="AG18" s="6">
        <v>17</v>
      </c>
      <c r="BP18">
        <f t="shared" si="1"/>
        <v>32</v>
      </c>
      <c r="BQ18">
        <v>17</v>
      </c>
      <c r="BR18">
        <f t="shared" si="0"/>
        <v>36.235341863986875</v>
      </c>
    </row>
    <row r="19" spans="4:70">
      <c r="L19">
        <v>5</v>
      </c>
      <c r="AG19" s="5">
        <v>18</v>
      </c>
      <c r="BP19">
        <f t="shared" si="1"/>
        <v>32</v>
      </c>
      <c r="BQ19">
        <v>18</v>
      </c>
      <c r="BR19">
        <f t="shared" si="0"/>
        <v>36.715119501371639</v>
      </c>
    </row>
    <row r="20" spans="4:70">
      <c r="L20">
        <v>6</v>
      </c>
      <c r="AG20" s="6">
        <v>19</v>
      </c>
      <c r="BP20">
        <f t="shared" si="1"/>
        <v>32</v>
      </c>
      <c r="BQ20">
        <v>19</v>
      </c>
      <c r="BR20">
        <f t="shared" si="0"/>
        <v>37.215588131856791</v>
      </c>
    </row>
    <row r="21" spans="4:70">
      <c r="L21">
        <v>7</v>
      </c>
      <c r="AG21" s="5">
        <v>20</v>
      </c>
      <c r="BP21">
        <f t="shared" si="1"/>
        <v>32</v>
      </c>
      <c r="BQ21">
        <v>20</v>
      </c>
      <c r="BR21">
        <f t="shared" si="0"/>
        <v>37.735924528226413</v>
      </c>
    </row>
    <row r="22" spans="4:70">
      <c r="AG22" s="6">
        <v>21</v>
      </c>
      <c r="BP22">
        <f t="shared" si="1"/>
        <v>32</v>
      </c>
      <c r="BQ22">
        <v>21</v>
      </c>
      <c r="BR22">
        <f t="shared" si="0"/>
        <v>38.275318418009277</v>
      </c>
    </row>
    <row r="23" spans="4:70">
      <c r="AG23" s="6">
        <v>22</v>
      </c>
      <c r="BP23">
        <f t="shared" si="1"/>
        <v>32</v>
      </c>
      <c r="BQ23">
        <v>22</v>
      </c>
      <c r="BR23">
        <f t="shared" si="0"/>
        <v>38.832975677895199</v>
      </c>
    </row>
    <row r="24" spans="4:70">
      <c r="AG24" s="5">
        <v>23</v>
      </c>
      <c r="BP24">
        <f t="shared" si="1"/>
        <v>32</v>
      </c>
      <c r="BQ24">
        <v>23</v>
      </c>
      <c r="BR24">
        <f t="shared" si="0"/>
        <v>39.408120990476064</v>
      </c>
    </row>
    <row r="25" spans="4:70">
      <c r="AG25" s="6">
        <v>24</v>
      </c>
      <c r="BP25">
        <f t="shared" si="1"/>
        <v>32</v>
      </c>
      <c r="BQ25">
        <v>24</v>
      </c>
      <c r="BR25">
        <f t="shared" si="0"/>
        <v>40</v>
      </c>
    </row>
    <row r="26" spans="4:70">
      <c r="AG26" s="5">
        <v>25</v>
      </c>
      <c r="BP26">
        <f t="shared" si="1"/>
        <v>32</v>
      </c>
      <c r="BQ26">
        <v>25</v>
      </c>
      <c r="BR26">
        <f t="shared" si="0"/>
        <v>40.607881008493905</v>
      </c>
    </row>
    <row r="27" spans="4:70">
      <c r="AG27" s="6">
        <v>26</v>
      </c>
      <c r="BP27">
        <f t="shared" si="1"/>
        <v>32</v>
      </c>
      <c r="BQ27">
        <v>26</v>
      </c>
      <c r="BR27">
        <f t="shared" si="0"/>
        <v>41.231056256176608</v>
      </c>
    </row>
    <row r="28" spans="4:70">
      <c r="AG28" s="6">
        <v>27</v>
      </c>
      <c r="BP28">
        <f t="shared" si="1"/>
        <v>32</v>
      </c>
      <c r="BQ28">
        <v>27</v>
      </c>
      <c r="BR28">
        <f t="shared" si="0"/>
        <v>41.868842830916641</v>
      </c>
    </row>
    <row r="29" spans="4:70" ht="15.75" thickBot="1">
      <c r="AG29" s="5">
        <v>28</v>
      </c>
      <c r="BP29">
        <f t="shared" si="1"/>
        <v>32</v>
      </c>
      <c r="BQ29">
        <v>28</v>
      </c>
      <c r="BR29">
        <f t="shared" si="0"/>
        <v>42.5205832509386</v>
      </c>
    </row>
    <row r="30" spans="4:70">
      <c r="E30" s="131" t="s">
        <v>6</v>
      </c>
      <c r="F30" s="131"/>
      <c r="G30" s="131"/>
      <c r="H30" s="131"/>
      <c r="I30" s="131"/>
      <c r="AG30" s="6">
        <v>29</v>
      </c>
      <c r="BE30" s="14"/>
      <c r="BF30" s="15"/>
      <c r="BG30" s="15"/>
      <c r="BH30" s="15"/>
      <c r="BI30" s="16"/>
      <c r="BP30">
        <f t="shared" si="1"/>
        <v>32</v>
      </c>
      <c r="BQ30">
        <v>29</v>
      </c>
      <c r="BR30">
        <f t="shared" si="0"/>
        <v>43.185645763378368</v>
      </c>
    </row>
    <row r="31" spans="4:70">
      <c r="D31" s="10"/>
      <c r="E31" s="131"/>
      <c r="F31" s="131"/>
      <c r="G31" s="131"/>
      <c r="H31" s="131"/>
      <c r="I31" s="131"/>
      <c r="AG31" s="5">
        <v>30</v>
      </c>
      <c r="BE31" s="17"/>
      <c r="BF31" s="18"/>
      <c r="BG31" s="18"/>
      <c r="BH31" s="8"/>
      <c r="BI31" s="19"/>
      <c r="BJ31" s="20"/>
      <c r="BP31">
        <f t="shared" si="1"/>
        <v>32</v>
      </c>
      <c r="BQ31">
        <v>30</v>
      </c>
      <c r="BR31">
        <f t="shared" si="0"/>
        <v>43.863424398922618</v>
      </c>
    </row>
    <row r="32" spans="4:70">
      <c r="D32" s="10"/>
      <c r="E32" s="131"/>
      <c r="F32" s="131"/>
      <c r="G32" s="131"/>
      <c r="H32" s="131"/>
      <c r="I32" s="131"/>
      <c r="AG32" s="6">
        <v>31</v>
      </c>
      <c r="BE32" s="17"/>
      <c r="BF32" s="18"/>
      <c r="BG32" s="18"/>
      <c r="BH32" s="18"/>
      <c r="BI32" s="21"/>
      <c r="BJ32" s="22"/>
      <c r="BP32">
        <f t="shared" si="1"/>
        <v>32</v>
      </c>
      <c r="BQ32">
        <v>31</v>
      </c>
      <c r="BR32">
        <f t="shared" si="0"/>
        <v>44.553338819890925</v>
      </c>
    </row>
    <row r="33" spans="1:70">
      <c r="A33" s="5">
        <v>0</v>
      </c>
      <c r="B33" s="10">
        <v>1</v>
      </c>
      <c r="C33" s="23">
        <v>2</v>
      </c>
      <c r="D33" s="10">
        <v>3</v>
      </c>
      <c r="E33" s="5">
        <v>4</v>
      </c>
      <c r="F33" s="10">
        <v>5</v>
      </c>
      <c r="G33" s="23">
        <v>6</v>
      </c>
      <c r="H33" s="10">
        <v>7</v>
      </c>
      <c r="I33" s="5">
        <v>8</v>
      </c>
      <c r="J33" s="10">
        <v>9</v>
      </c>
      <c r="K33" s="23">
        <v>10</v>
      </c>
      <c r="L33" s="10">
        <v>11</v>
      </c>
      <c r="M33" s="5">
        <v>12</v>
      </c>
      <c r="N33" s="10">
        <v>13</v>
      </c>
      <c r="O33" s="23">
        <v>14</v>
      </c>
      <c r="P33" s="10">
        <v>15</v>
      </c>
      <c r="Q33" s="5">
        <v>16</v>
      </c>
      <c r="R33" s="10">
        <v>17</v>
      </c>
      <c r="S33" s="23">
        <v>18</v>
      </c>
      <c r="T33" s="10">
        <v>19</v>
      </c>
      <c r="U33" s="5">
        <v>20</v>
      </c>
      <c r="V33" s="10">
        <v>21</v>
      </c>
      <c r="W33" s="23">
        <v>22</v>
      </c>
      <c r="X33" s="10">
        <v>23</v>
      </c>
      <c r="Y33" s="5">
        <v>24</v>
      </c>
      <c r="Z33" s="10">
        <v>25</v>
      </c>
      <c r="AA33" s="23">
        <v>26</v>
      </c>
      <c r="AB33" s="10">
        <v>27</v>
      </c>
      <c r="AC33" s="5">
        <v>28</v>
      </c>
      <c r="AD33" s="10">
        <v>29</v>
      </c>
      <c r="AE33" s="23">
        <v>30</v>
      </c>
      <c r="AF33" s="10">
        <v>31</v>
      </c>
      <c r="AG33" s="6">
        <v>32</v>
      </c>
      <c r="AH33" s="10">
        <v>33</v>
      </c>
      <c r="AI33" s="23">
        <v>34</v>
      </c>
      <c r="AJ33" s="10">
        <v>35</v>
      </c>
      <c r="AK33" s="5">
        <v>36</v>
      </c>
      <c r="AL33" s="10">
        <v>37</v>
      </c>
      <c r="AM33" s="23">
        <v>38</v>
      </c>
      <c r="AN33" s="10">
        <v>39</v>
      </c>
      <c r="AO33" s="5">
        <v>40</v>
      </c>
      <c r="AP33" s="10">
        <v>41</v>
      </c>
      <c r="AQ33" s="23">
        <v>42</v>
      </c>
      <c r="AR33" s="10">
        <v>43</v>
      </c>
      <c r="AS33" s="5">
        <v>44</v>
      </c>
      <c r="AT33" s="10">
        <v>45</v>
      </c>
      <c r="AU33" s="23">
        <v>46</v>
      </c>
      <c r="AV33" s="10">
        <v>47</v>
      </c>
      <c r="AW33" s="5">
        <v>48</v>
      </c>
      <c r="AX33" s="10">
        <v>49</v>
      </c>
      <c r="AY33" s="23">
        <v>50</v>
      </c>
      <c r="AZ33" s="10">
        <v>51</v>
      </c>
      <c r="BA33" s="5">
        <v>52</v>
      </c>
      <c r="BB33" s="10">
        <v>53</v>
      </c>
      <c r="BC33" s="23">
        <v>54</v>
      </c>
      <c r="BD33" s="10">
        <v>55</v>
      </c>
      <c r="BE33" s="5">
        <v>56</v>
      </c>
      <c r="BF33" s="10">
        <v>57</v>
      </c>
      <c r="BG33" s="23">
        <v>58</v>
      </c>
      <c r="BH33" s="10">
        <v>59</v>
      </c>
      <c r="BI33" s="5">
        <v>60</v>
      </c>
      <c r="BJ33" s="10">
        <v>61</v>
      </c>
      <c r="BK33" s="23">
        <v>62</v>
      </c>
      <c r="BL33" s="10">
        <v>63</v>
      </c>
      <c r="BM33" s="5">
        <v>64</v>
      </c>
      <c r="BP33">
        <f t="shared" si="1"/>
        <v>32</v>
      </c>
      <c r="BQ33">
        <v>32</v>
      </c>
      <c r="BR33">
        <f t="shared" si="0"/>
        <v>45.254833995939045</v>
      </c>
    </row>
    <row r="34" spans="1:70">
      <c r="D34" s="24"/>
      <c r="E34" s="131"/>
      <c r="F34" s="131"/>
      <c r="G34" s="131"/>
      <c r="H34" s="131"/>
      <c r="I34" s="131"/>
      <c r="U34">
        <v>0</v>
      </c>
      <c r="AG34" s="5">
        <v>33</v>
      </c>
      <c r="BE34" s="17"/>
      <c r="BF34" s="18"/>
      <c r="BG34" s="18"/>
      <c r="BH34" s="18"/>
      <c r="BI34" s="21"/>
      <c r="BJ34" s="25"/>
    </row>
    <row r="35" spans="1:70">
      <c r="D35" s="10"/>
      <c r="E35" s="131"/>
      <c r="F35" s="131"/>
      <c r="G35" s="131"/>
      <c r="H35" s="131"/>
      <c r="I35" s="131"/>
      <c r="U35">
        <v>1</v>
      </c>
      <c r="AG35" s="6">
        <v>34</v>
      </c>
      <c r="BE35" s="17"/>
      <c r="BF35" s="18"/>
      <c r="BG35" s="18"/>
      <c r="BH35" s="8"/>
      <c r="BI35" s="19"/>
      <c r="BJ35" s="20"/>
    </row>
    <row r="36" spans="1:70" ht="15.75" thickBot="1">
      <c r="D36" s="24"/>
      <c r="E36" s="131"/>
      <c r="F36" s="131"/>
      <c r="G36" s="131"/>
      <c r="H36" s="131"/>
      <c r="I36" s="131"/>
      <c r="U36">
        <v>2</v>
      </c>
      <c r="AG36" s="5">
        <v>35</v>
      </c>
      <c r="BE36" s="26"/>
      <c r="BF36" s="27"/>
      <c r="BG36" s="27"/>
      <c r="BH36" s="27"/>
      <c r="BI36" s="28"/>
    </row>
    <row r="37" spans="1:70">
      <c r="U37" s="13">
        <v>3</v>
      </c>
      <c r="AG37" s="6">
        <v>36</v>
      </c>
    </row>
    <row r="38" spans="1:70">
      <c r="U38">
        <v>4</v>
      </c>
      <c r="AG38" s="6">
        <v>37</v>
      </c>
      <c r="BG38" t="s">
        <v>7</v>
      </c>
    </row>
    <row r="39" spans="1:70">
      <c r="B39">
        <v>1</v>
      </c>
      <c r="C39">
        <v>2</v>
      </c>
      <c r="D39">
        <v>3</v>
      </c>
      <c r="E39">
        <v>4</v>
      </c>
      <c r="F39">
        <v>5</v>
      </c>
      <c r="G39">
        <v>6</v>
      </c>
      <c r="H39">
        <v>7</v>
      </c>
      <c r="I39">
        <v>8</v>
      </c>
      <c r="J39">
        <v>9</v>
      </c>
      <c r="K39">
        <v>10</v>
      </c>
      <c r="L39">
        <v>11</v>
      </c>
      <c r="M39">
        <v>12</v>
      </c>
      <c r="N39">
        <v>13</v>
      </c>
      <c r="O39">
        <v>14</v>
      </c>
      <c r="P39">
        <v>15</v>
      </c>
      <c r="Q39">
        <v>16</v>
      </c>
      <c r="R39">
        <v>17</v>
      </c>
      <c r="S39">
        <v>18</v>
      </c>
      <c r="T39">
        <v>19</v>
      </c>
      <c r="U39">
        <v>5</v>
      </c>
      <c r="V39">
        <v>21</v>
      </c>
      <c r="W39">
        <v>22</v>
      </c>
      <c r="X39">
        <v>23</v>
      </c>
      <c r="Y39">
        <v>24</v>
      </c>
      <c r="Z39">
        <v>25</v>
      </c>
      <c r="AA39">
        <v>26</v>
      </c>
      <c r="AB39">
        <v>27</v>
      </c>
      <c r="AC39">
        <v>28</v>
      </c>
      <c r="AD39">
        <v>29</v>
      </c>
      <c r="AE39">
        <v>30</v>
      </c>
      <c r="AF39">
        <v>31</v>
      </c>
      <c r="AG39" s="5">
        <v>38</v>
      </c>
      <c r="AH39">
        <v>33</v>
      </c>
      <c r="AI39">
        <v>34</v>
      </c>
      <c r="AJ39">
        <v>35</v>
      </c>
      <c r="AK39">
        <v>36</v>
      </c>
      <c r="AL39">
        <v>37</v>
      </c>
      <c r="AM39">
        <v>38</v>
      </c>
      <c r="AN39">
        <v>39</v>
      </c>
      <c r="AO39">
        <v>40</v>
      </c>
      <c r="AP39">
        <v>41</v>
      </c>
      <c r="AQ39">
        <v>42</v>
      </c>
      <c r="AR39">
        <v>43</v>
      </c>
      <c r="AS39">
        <v>44</v>
      </c>
      <c r="AT39">
        <v>45</v>
      </c>
      <c r="AU39">
        <v>46</v>
      </c>
      <c r="AV39">
        <v>47</v>
      </c>
      <c r="AW39">
        <v>48</v>
      </c>
      <c r="AX39">
        <v>49</v>
      </c>
      <c r="AY39">
        <v>50</v>
      </c>
      <c r="AZ39">
        <v>51</v>
      </c>
      <c r="BA39">
        <v>52</v>
      </c>
      <c r="BB39">
        <v>53</v>
      </c>
      <c r="BC39">
        <v>54</v>
      </c>
      <c r="BD39">
        <v>55</v>
      </c>
      <c r="BE39">
        <v>56</v>
      </c>
      <c r="BF39">
        <v>57</v>
      </c>
      <c r="BG39">
        <v>58</v>
      </c>
      <c r="BH39">
        <v>59</v>
      </c>
      <c r="BI39">
        <v>60</v>
      </c>
      <c r="BJ39">
        <v>61</v>
      </c>
      <c r="BK39">
        <v>62</v>
      </c>
      <c r="BL39">
        <v>63</v>
      </c>
    </row>
    <row r="40" spans="1:70">
      <c r="U40">
        <v>6</v>
      </c>
      <c r="AG40" s="6">
        <v>39</v>
      </c>
    </row>
    <row r="41" spans="1:70">
      <c r="AG41" s="5">
        <v>40</v>
      </c>
    </row>
    <row r="42" spans="1:70">
      <c r="AE42" s="29"/>
      <c r="AF42" s="29"/>
      <c r="AG42" s="6">
        <v>41</v>
      </c>
      <c r="AH42" s="29"/>
      <c r="AI42" s="29"/>
    </row>
    <row r="43" spans="1:70">
      <c r="AF43" s="29"/>
      <c r="AG43" s="6">
        <v>42</v>
      </c>
      <c r="AH43" s="29"/>
    </row>
    <row r="44" spans="1:70">
      <c r="AG44" s="5">
        <v>43</v>
      </c>
    </row>
    <row r="45" spans="1:70">
      <c r="AG45" s="6">
        <v>44</v>
      </c>
    </row>
    <row r="46" spans="1:70">
      <c r="AG46" s="5">
        <v>45</v>
      </c>
    </row>
    <row r="47" spans="1:70">
      <c r="AE47" s="30"/>
      <c r="AF47" s="30"/>
      <c r="AG47" s="6">
        <v>46</v>
      </c>
      <c r="AH47" s="30"/>
      <c r="AI47" s="30"/>
    </row>
    <row r="48" spans="1:70">
      <c r="AF48" s="30"/>
      <c r="AG48" s="6">
        <v>47</v>
      </c>
      <c r="AH48" s="30"/>
    </row>
    <row r="49" spans="27:35">
      <c r="AG49" s="5">
        <v>48</v>
      </c>
    </row>
    <row r="50" spans="27:35">
      <c r="AG50" s="6">
        <v>49</v>
      </c>
    </row>
    <row r="51" spans="27:35">
      <c r="AG51" s="5">
        <v>50</v>
      </c>
    </row>
    <row r="52" spans="27:35">
      <c r="AG52" s="6">
        <v>51</v>
      </c>
    </row>
    <row r="53" spans="27:35">
      <c r="AG53" s="6">
        <v>52</v>
      </c>
    </row>
    <row r="54" spans="27:35">
      <c r="AG54" s="5">
        <v>53</v>
      </c>
    </row>
    <row r="55" spans="27:35">
      <c r="AE55" s="7"/>
      <c r="AF55" s="7"/>
      <c r="AG55" s="6">
        <v>54</v>
      </c>
      <c r="AH55" s="7"/>
      <c r="AI55" s="7"/>
    </row>
    <row r="56" spans="27:35">
      <c r="AA56" t="s">
        <v>8</v>
      </c>
      <c r="AE56" s="7"/>
      <c r="AF56" s="7"/>
      <c r="AG56" s="5">
        <v>55</v>
      </c>
      <c r="AH56" s="7"/>
      <c r="AI56" s="7"/>
    </row>
    <row r="57" spans="27:35">
      <c r="AE57" s="7"/>
      <c r="AF57" s="7"/>
      <c r="AG57" s="6">
        <v>56</v>
      </c>
      <c r="AH57" s="7"/>
      <c r="AI57" s="7"/>
    </row>
    <row r="58" spans="27:35">
      <c r="AE58" s="7"/>
      <c r="AF58" s="8"/>
      <c r="AG58" s="6">
        <v>57</v>
      </c>
      <c r="AH58" s="8"/>
      <c r="AI58" s="7"/>
    </row>
    <row r="59" spans="27:35">
      <c r="AE59" s="7"/>
      <c r="AF59" s="31"/>
      <c r="AG59" s="5">
        <v>58</v>
      </c>
      <c r="AH59" s="7"/>
      <c r="AI59" s="7"/>
    </row>
    <row r="60" spans="27:35">
      <c r="AA60" t="s">
        <v>9</v>
      </c>
      <c r="AE60" s="7"/>
      <c r="AF60" s="8"/>
      <c r="AG60" s="6">
        <v>59</v>
      </c>
      <c r="AH60" s="8"/>
      <c r="AI60" s="7"/>
    </row>
    <row r="61" spans="27:35">
      <c r="AE61" s="7"/>
      <c r="AF61" s="12"/>
      <c r="AG61" s="5">
        <v>60</v>
      </c>
      <c r="AH61" s="8"/>
      <c r="AI61" s="7"/>
    </row>
    <row r="62" spans="27:35">
      <c r="AE62" s="24"/>
      <c r="AF62" s="10"/>
      <c r="AG62" s="6">
        <v>61</v>
      </c>
      <c r="AH62" s="10"/>
      <c r="AI62" s="24"/>
    </row>
    <row r="63" spans="27:35">
      <c r="AG63" s="6">
        <v>62</v>
      </c>
    </row>
    <row r="64" spans="27:35">
      <c r="AG64" s="5">
        <v>63</v>
      </c>
    </row>
    <row r="65" spans="33:33">
      <c r="AG65" s="6">
        <v>64</v>
      </c>
    </row>
  </sheetData>
  <conditionalFormatting sqref="F1:I29 A1:D32 E1:E30 AH13:AZ13 J1:AF32">
    <cfRule type="expression" dxfId="6" priority="4">
      <formula>SQRT((33-ROW())^2+(33-COLUMN())^2)&gt;32</formula>
    </cfRule>
  </conditionalFormatting>
  <conditionalFormatting sqref="AH1:BM32">
    <cfRule type="expression" dxfId="5" priority="3">
      <formula>SQRT((33-ROW())^2+(COLUMN()-33)^2)&gt;32</formula>
    </cfRule>
  </conditionalFormatting>
  <conditionalFormatting sqref="AE46:AF49 E37:I65 AE53:AF65 AE34:AF44 A34:D65 E39:AF39 AH39:BL39 J34:AD65">
    <cfRule type="expression" dxfId="4" priority="2">
      <formula>SQRT((ROW()-33)^2+(33-COLUMN())^2)&gt;32</formula>
    </cfRule>
  </conditionalFormatting>
  <conditionalFormatting sqref="AH46:AI49 AH53:AI65 AK34:BM65 AH34:AJ44 AJ47:AJ65">
    <cfRule type="expression" dxfId="3" priority="1">
      <formula>SQRT((ROW()-33)^2+(COLUMN()-33)^2)&gt;32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GH31"/>
  <sheetViews>
    <sheetView tabSelected="1" workbookViewId="0">
      <selection activeCell="P13" sqref="P13"/>
    </sheetView>
  </sheetViews>
  <sheetFormatPr defaultColWidth="5.7109375" defaultRowHeight="15"/>
  <cols>
    <col min="6" max="6" width="8.7109375" bestFit="1" customWidth="1"/>
    <col min="16" max="16" width="8.7109375" bestFit="1" customWidth="1"/>
  </cols>
  <sheetData>
    <row r="1" spans="1:190">
      <c r="A1" s="32">
        <v>0</v>
      </c>
      <c r="B1" s="33">
        <v>0</v>
      </c>
      <c r="C1" s="33">
        <v>1</v>
      </c>
      <c r="D1" s="33">
        <v>0</v>
      </c>
      <c r="E1" s="34">
        <v>0</v>
      </c>
      <c r="F1" s="32">
        <v>1</v>
      </c>
      <c r="G1" s="33">
        <v>1</v>
      </c>
      <c r="H1" s="33">
        <v>1</v>
      </c>
      <c r="I1" s="33">
        <v>1</v>
      </c>
      <c r="J1" s="34">
        <v>1</v>
      </c>
      <c r="K1" s="32">
        <v>1</v>
      </c>
      <c r="L1" s="33">
        <v>1</v>
      </c>
      <c r="M1" s="33">
        <v>1</v>
      </c>
      <c r="N1" s="33">
        <v>1</v>
      </c>
      <c r="O1" s="34">
        <v>1</v>
      </c>
      <c r="P1" s="32">
        <v>1</v>
      </c>
      <c r="Q1" s="33">
        <v>0</v>
      </c>
      <c r="R1" s="33">
        <v>0</v>
      </c>
      <c r="S1" s="33">
        <v>0</v>
      </c>
      <c r="T1" s="34">
        <v>1</v>
      </c>
      <c r="U1" s="32">
        <v>1</v>
      </c>
      <c r="V1" s="33">
        <v>1</v>
      </c>
      <c r="W1" s="33">
        <v>1</v>
      </c>
      <c r="X1" s="33">
        <v>1</v>
      </c>
      <c r="Y1" s="34">
        <v>1</v>
      </c>
      <c r="Z1" s="32">
        <v>1</v>
      </c>
      <c r="AA1" s="33">
        <v>1</v>
      </c>
      <c r="AB1" s="33">
        <v>1</v>
      </c>
      <c r="AC1" s="33">
        <v>1</v>
      </c>
      <c r="AD1" s="34">
        <v>1</v>
      </c>
      <c r="AE1" s="32">
        <v>1</v>
      </c>
      <c r="AF1" s="33">
        <v>1</v>
      </c>
      <c r="AG1" s="33">
        <v>1</v>
      </c>
      <c r="AH1" s="33">
        <v>1</v>
      </c>
      <c r="AI1" s="34">
        <v>1</v>
      </c>
      <c r="AJ1" s="32">
        <v>1</v>
      </c>
      <c r="AK1" s="33">
        <v>1</v>
      </c>
      <c r="AL1" s="33">
        <v>1</v>
      </c>
      <c r="AM1" s="33">
        <v>1</v>
      </c>
      <c r="AN1" s="34">
        <v>1</v>
      </c>
      <c r="AO1" s="32">
        <v>1</v>
      </c>
      <c r="AP1" s="33">
        <v>1</v>
      </c>
      <c r="AQ1" s="33">
        <v>1</v>
      </c>
      <c r="AR1" s="33">
        <v>1</v>
      </c>
      <c r="AS1" s="34">
        <v>1</v>
      </c>
      <c r="AT1" s="32">
        <v>1</v>
      </c>
      <c r="AU1" s="33">
        <v>1</v>
      </c>
      <c r="AV1" s="33">
        <v>1</v>
      </c>
      <c r="AW1" s="33">
        <v>1</v>
      </c>
      <c r="AX1" s="34">
        <v>1</v>
      </c>
      <c r="AY1" s="32">
        <v>1</v>
      </c>
      <c r="AZ1" s="33">
        <v>1</v>
      </c>
      <c r="BA1" s="33">
        <v>1</v>
      </c>
      <c r="BB1" s="33">
        <v>1</v>
      </c>
      <c r="BC1" s="34">
        <v>1</v>
      </c>
      <c r="BD1" s="32">
        <v>1</v>
      </c>
      <c r="BE1" s="33">
        <v>1</v>
      </c>
      <c r="BF1" s="33">
        <v>1</v>
      </c>
      <c r="BG1" s="33">
        <v>1</v>
      </c>
      <c r="BH1" s="34">
        <v>0</v>
      </c>
      <c r="BI1" s="32">
        <v>1</v>
      </c>
      <c r="BJ1" s="33">
        <v>1</v>
      </c>
      <c r="BK1" s="33">
        <v>1</v>
      </c>
      <c r="BL1" s="33">
        <v>1</v>
      </c>
      <c r="BM1" s="34">
        <v>1</v>
      </c>
      <c r="BN1" s="32">
        <v>1</v>
      </c>
      <c r="BO1" s="33">
        <v>1</v>
      </c>
      <c r="BP1" s="33">
        <v>1</v>
      </c>
      <c r="BQ1" s="33">
        <v>1</v>
      </c>
      <c r="BR1" s="34">
        <v>0</v>
      </c>
      <c r="BS1" s="32">
        <v>1</v>
      </c>
      <c r="BT1" s="33">
        <v>1</v>
      </c>
      <c r="BU1" s="33">
        <v>1</v>
      </c>
      <c r="BV1" s="33">
        <v>1</v>
      </c>
      <c r="BW1" s="34">
        <v>1</v>
      </c>
      <c r="BX1" s="32">
        <v>1</v>
      </c>
      <c r="BY1" s="33">
        <v>1</v>
      </c>
      <c r="BZ1" s="33">
        <v>1</v>
      </c>
      <c r="CA1" s="33">
        <v>1</v>
      </c>
      <c r="CB1" s="34">
        <v>1</v>
      </c>
      <c r="CC1" s="32">
        <v>1</v>
      </c>
      <c r="CD1" s="33">
        <v>1</v>
      </c>
      <c r="CE1" s="33">
        <v>1</v>
      </c>
      <c r="CF1" s="33">
        <v>1</v>
      </c>
      <c r="CG1" s="34">
        <v>1</v>
      </c>
      <c r="CH1" s="32">
        <v>1</v>
      </c>
      <c r="CI1" s="33">
        <v>0</v>
      </c>
      <c r="CJ1" s="33">
        <v>0</v>
      </c>
      <c r="CK1" s="33">
        <v>0</v>
      </c>
      <c r="CL1" s="34">
        <v>1</v>
      </c>
      <c r="CM1" s="32">
        <v>1</v>
      </c>
      <c r="CN1" s="33">
        <v>1</v>
      </c>
      <c r="CO1" s="33">
        <v>1</v>
      </c>
      <c r="CP1" s="33">
        <v>1</v>
      </c>
      <c r="CQ1" s="34">
        <v>1</v>
      </c>
      <c r="CR1" s="32">
        <v>0</v>
      </c>
      <c r="CS1" s="33">
        <v>0</v>
      </c>
      <c r="CT1" s="33">
        <v>1</v>
      </c>
      <c r="CU1" s="33">
        <v>1</v>
      </c>
      <c r="CV1" s="34">
        <v>1</v>
      </c>
      <c r="CW1" s="32">
        <v>1</v>
      </c>
      <c r="CX1" s="33">
        <v>0</v>
      </c>
      <c r="CY1" s="33">
        <v>0</v>
      </c>
      <c r="CZ1" s="33">
        <v>0</v>
      </c>
      <c r="DA1" s="34">
        <v>1</v>
      </c>
      <c r="DB1" s="32">
        <v>1</v>
      </c>
      <c r="DC1" s="33">
        <v>1</v>
      </c>
      <c r="DD1" s="33">
        <v>1</v>
      </c>
      <c r="DE1" s="33">
        <v>0</v>
      </c>
      <c r="DF1" s="34">
        <v>0</v>
      </c>
      <c r="DG1" s="32">
        <v>1</v>
      </c>
      <c r="DH1" s="33">
        <v>1</v>
      </c>
      <c r="DI1" s="33">
        <v>0</v>
      </c>
      <c r="DJ1" s="33">
        <v>1</v>
      </c>
      <c r="DK1" s="34">
        <v>1</v>
      </c>
      <c r="DL1" s="32">
        <v>1</v>
      </c>
      <c r="DM1" s="33">
        <v>1</v>
      </c>
      <c r="DN1" s="33">
        <v>0</v>
      </c>
      <c r="DO1" s="33">
        <v>0</v>
      </c>
      <c r="DP1" s="34">
        <v>1</v>
      </c>
      <c r="DQ1" s="32">
        <v>0</v>
      </c>
      <c r="DR1" s="33">
        <v>1</v>
      </c>
      <c r="DS1" s="33">
        <v>1</v>
      </c>
      <c r="DT1" s="33">
        <v>1</v>
      </c>
      <c r="DU1" s="34">
        <v>0</v>
      </c>
      <c r="DV1" s="32">
        <v>1</v>
      </c>
      <c r="DW1" s="33">
        <v>1</v>
      </c>
      <c r="DX1" s="33">
        <v>1</v>
      </c>
      <c r="DY1" s="33">
        <v>1</v>
      </c>
      <c r="DZ1" s="33">
        <v>0</v>
      </c>
      <c r="EA1" s="32">
        <v>1</v>
      </c>
      <c r="EB1" s="33">
        <v>1</v>
      </c>
      <c r="EC1" s="33">
        <v>1</v>
      </c>
      <c r="ED1" s="33">
        <v>1</v>
      </c>
      <c r="EE1" s="34">
        <v>1</v>
      </c>
      <c r="EF1" s="35">
        <v>0</v>
      </c>
      <c r="EG1" s="35">
        <v>1</v>
      </c>
      <c r="EH1" s="35">
        <v>1</v>
      </c>
      <c r="EI1" s="35">
        <v>1</v>
      </c>
      <c r="EJ1" s="35">
        <v>0</v>
      </c>
      <c r="EK1" s="32">
        <v>1</v>
      </c>
      <c r="EL1" s="33">
        <v>1</v>
      </c>
      <c r="EM1" s="33">
        <v>1</v>
      </c>
      <c r="EN1" s="33">
        <v>1</v>
      </c>
      <c r="EO1" s="34">
        <v>1</v>
      </c>
      <c r="EP1" s="35">
        <v>1</v>
      </c>
      <c r="EQ1" s="35">
        <v>1</v>
      </c>
      <c r="ER1" s="35">
        <v>1</v>
      </c>
      <c r="ES1" s="35">
        <v>1</v>
      </c>
      <c r="ET1" s="36">
        <v>1</v>
      </c>
      <c r="EU1" s="37">
        <v>1</v>
      </c>
      <c r="EV1" s="35">
        <v>0</v>
      </c>
      <c r="EW1" s="35">
        <v>0</v>
      </c>
      <c r="EX1" s="35">
        <v>0</v>
      </c>
      <c r="EY1" s="36">
        <v>1</v>
      </c>
      <c r="EZ1" s="37">
        <v>1</v>
      </c>
      <c r="FA1" s="35">
        <v>0</v>
      </c>
      <c r="FB1" s="35">
        <v>0</v>
      </c>
      <c r="FC1" s="35">
        <v>0</v>
      </c>
      <c r="FD1" s="36">
        <v>1</v>
      </c>
      <c r="FE1" s="37">
        <v>1</v>
      </c>
      <c r="FF1" s="35">
        <v>0</v>
      </c>
      <c r="FG1" s="35">
        <v>0</v>
      </c>
      <c r="FH1" s="35">
        <v>0</v>
      </c>
      <c r="FI1" s="36">
        <v>1</v>
      </c>
      <c r="FJ1" s="37">
        <v>1</v>
      </c>
      <c r="FK1" s="35">
        <v>0</v>
      </c>
      <c r="FL1" s="35">
        <v>0</v>
      </c>
      <c r="FM1" s="35">
        <v>0</v>
      </c>
      <c r="FN1" s="36">
        <v>1</v>
      </c>
      <c r="FO1" s="37">
        <v>1</v>
      </c>
      <c r="FP1" s="35">
        <v>0</v>
      </c>
      <c r="FQ1" s="35">
        <v>0</v>
      </c>
      <c r="FR1" s="35">
        <v>0</v>
      </c>
      <c r="FS1" s="36">
        <v>1</v>
      </c>
      <c r="FT1" s="37">
        <v>1</v>
      </c>
      <c r="FU1" s="35">
        <v>1</v>
      </c>
      <c r="FV1" s="35">
        <v>1</v>
      </c>
      <c r="FW1" s="35">
        <v>1</v>
      </c>
      <c r="FX1" s="36">
        <v>1</v>
      </c>
    </row>
    <row r="2" spans="1:190">
      <c r="A2" s="38">
        <v>0</v>
      </c>
      <c r="B2" s="39">
        <v>0</v>
      </c>
      <c r="C2" s="39">
        <v>1</v>
      </c>
      <c r="D2" s="39">
        <v>0</v>
      </c>
      <c r="E2" s="40">
        <v>0</v>
      </c>
      <c r="F2" s="38">
        <v>0</v>
      </c>
      <c r="G2" s="39">
        <v>0</v>
      </c>
      <c r="H2" s="39">
        <v>0</v>
      </c>
      <c r="I2" s="39">
        <v>0</v>
      </c>
      <c r="J2" s="40">
        <v>1</v>
      </c>
      <c r="K2" s="38">
        <v>0</v>
      </c>
      <c r="L2" s="39">
        <v>0</v>
      </c>
      <c r="M2" s="39">
        <v>0</v>
      </c>
      <c r="N2" s="39">
        <v>0</v>
      </c>
      <c r="O2" s="40">
        <v>1</v>
      </c>
      <c r="P2" s="38">
        <v>1</v>
      </c>
      <c r="Q2" s="39">
        <v>0</v>
      </c>
      <c r="R2" s="39">
        <v>0</v>
      </c>
      <c r="S2" s="39">
        <v>0</v>
      </c>
      <c r="T2" s="40">
        <v>1</v>
      </c>
      <c r="U2" s="38">
        <v>1</v>
      </c>
      <c r="V2" s="39">
        <v>0</v>
      </c>
      <c r="W2" s="39">
        <v>0</v>
      </c>
      <c r="X2" s="39">
        <v>0</v>
      </c>
      <c r="Y2" s="40">
        <v>0</v>
      </c>
      <c r="Z2" s="38">
        <v>1</v>
      </c>
      <c r="AA2" s="39">
        <v>0</v>
      </c>
      <c r="AB2" s="39">
        <v>0</v>
      </c>
      <c r="AC2" s="39">
        <v>0</v>
      </c>
      <c r="AD2" s="40">
        <v>0</v>
      </c>
      <c r="AE2" s="38">
        <v>0</v>
      </c>
      <c r="AF2" s="39">
        <v>0</v>
      </c>
      <c r="AG2" s="39">
        <v>0</v>
      </c>
      <c r="AH2" s="39">
        <v>0</v>
      </c>
      <c r="AI2" s="40">
        <v>1</v>
      </c>
      <c r="AJ2" s="38">
        <v>1</v>
      </c>
      <c r="AK2" s="39">
        <v>0</v>
      </c>
      <c r="AL2" s="39">
        <v>0</v>
      </c>
      <c r="AM2" s="39">
        <v>0</v>
      </c>
      <c r="AN2" s="40">
        <v>1</v>
      </c>
      <c r="AO2" s="38">
        <v>1</v>
      </c>
      <c r="AP2" s="39">
        <v>0</v>
      </c>
      <c r="AQ2" s="39">
        <v>0</v>
      </c>
      <c r="AR2" s="39">
        <v>0</v>
      </c>
      <c r="AS2" s="40">
        <v>1</v>
      </c>
      <c r="AT2" s="38">
        <v>1</v>
      </c>
      <c r="AU2" s="39">
        <v>0</v>
      </c>
      <c r="AV2" s="39">
        <v>0</v>
      </c>
      <c r="AW2" s="39">
        <v>0</v>
      </c>
      <c r="AX2" s="40">
        <v>1</v>
      </c>
      <c r="AY2" s="38">
        <v>1</v>
      </c>
      <c r="AZ2" s="39">
        <v>0</v>
      </c>
      <c r="BA2" s="39">
        <v>0</v>
      </c>
      <c r="BB2" s="39">
        <v>0</v>
      </c>
      <c r="BC2" s="40">
        <v>1</v>
      </c>
      <c r="BD2" s="38">
        <v>1</v>
      </c>
      <c r="BE2" s="39">
        <v>0</v>
      </c>
      <c r="BF2" s="39">
        <v>0</v>
      </c>
      <c r="BG2" s="39">
        <v>0</v>
      </c>
      <c r="BH2" s="40">
        <v>1</v>
      </c>
      <c r="BI2" s="38">
        <v>1</v>
      </c>
      <c r="BJ2" s="39">
        <v>0</v>
      </c>
      <c r="BK2" s="39">
        <v>0</v>
      </c>
      <c r="BL2" s="39">
        <v>0</v>
      </c>
      <c r="BM2" s="40">
        <v>0</v>
      </c>
      <c r="BN2" s="38">
        <v>1</v>
      </c>
      <c r="BO2" s="39">
        <v>0</v>
      </c>
      <c r="BP2" s="39">
        <v>0</v>
      </c>
      <c r="BQ2" s="39">
        <v>0</v>
      </c>
      <c r="BR2" s="40">
        <v>1</v>
      </c>
      <c r="BS2" s="38">
        <v>1</v>
      </c>
      <c r="BT2" s="39">
        <v>0</v>
      </c>
      <c r="BU2" s="39">
        <v>0</v>
      </c>
      <c r="BV2" s="39">
        <v>0</v>
      </c>
      <c r="BW2" s="40">
        <v>0</v>
      </c>
      <c r="BX2" s="38">
        <v>1</v>
      </c>
      <c r="BY2" s="39">
        <v>0</v>
      </c>
      <c r="BZ2" s="39">
        <v>0</v>
      </c>
      <c r="CA2" s="39">
        <v>0</v>
      </c>
      <c r="CB2" s="40">
        <v>0</v>
      </c>
      <c r="CC2" s="38">
        <v>1</v>
      </c>
      <c r="CD2" s="39">
        <v>0</v>
      </c>
      <c r="CE2" s="39">
        <v>0</v>
      </c>
      <c r="CF2" s="39">
        <v>0</v>
      </c>
      <c r="CG2" s="40">
        <v>0</v>
      </c>
      <c r="CH2" s="38">
        <v>1</v>
      </c>
      <c r="CI2" s="39">
        <v>0</v>
      </c>
      <c r="CJ2" s="39">
        <v>0</v>
      </c>
      <c r="CK2" s="39">
        <v>0</v>
      </c>
      <c r="CL2" s="40">
        <v>1</v>
      </c>
      <c r="CM2" s="38">
        <v>0</v>
      </c>
      <c r="CN2" s="39">
        <v>0</v>
      </c>
      <c r="CO2" s="39">
        <v>1</v>
      </c>
      <c r="CP2" s="39">
        <v>0</v>
      </c>
      <c r="CQ2" s="40">
        <v>0</v>
      </c>
      <c r="CR2" s="38">
        <v>0</v>
      </c>
      <c r="CS2" s="39">
        <v>0</v>
      </c>
      <c r="CT2" s="39">
        <v>0</v>
      </c>
      <c r="CU2" s="39">
        <v>1</v>
      </c>
      <c r="CV2" s="40">
        <v>0</v>
      </c>
      <c r="CW2" s="38">
        <v>1</v>
      </c>
      <c r="CX2" s="39">
        <v>0</v>
      </c>
      <c r="CY2" s="39">
        <v>0</v>
      </c>
      <c r="CZ2" s="39">
        <v>1</v>
      </c>
      <c r="DA2" s="40">
        <v>0</v>
      </c>
      <c r="DB2" s="38">
        <v>0</v>
      </c>
      <c r="DC2" s="39">
        <v>1</v>
      </c>
      <c r="DD2" s="39">
        <v>0</v>
      </c>
      <c r="DE2" s="39">
        <v>0</v>
      </c>
      <c r="DF2" s="40">
        <v>0</v>
      </c>
      <c r="DG2" s="38">
        <v>1</v>
      </c>
      <c r="DH2" s="39">
        <v>1</v>
      </c>
      <c r="DI2" s="39">
        <v>0</v>
      </c>
      <c r="DJ2" s="39">
        <v>1</v>
      </c>
      <c r="DK2" s="40">
        <v>1</v>
      </c>
      <c r="DL2" s="38">
        <v>1</v>
      </c>
      <c r="DM2" s="39">
        <v>1</v>
      </c>
      <c r="DN2" s="39">
        <v>0</v>
      </c>
      <c r="DO2" s="39">
        <v>0</v>
      </c>
      <c r="DP2" s="40">
        <v>1</v>
      </c>
      <c r="DQ2" s="38">
        <v>1</v>
      </c>
      <c r="DR2" s="39">
        <v>0</v>
      </c>
      <c r="DS2" s="39">
        <v>0</v>
      </c>
      <c r="DT2" s="39">
        <v>0</v>
      </c>
      <c r="DU2" s="40">
        <v>1</v>
      </c>
      <c r="DV2" s="38">
        <v>0</v>
      </c>
      <c r="DW2" s="39">
        <v>1</v>
      </c>
      <c r="DX2" s="39">
        <v>0</v>
      </c>
      <c r="DY2" s="39">
        <v>0</v>
      </c>
      <c r="DZ2" s="39">
        <v>1</v>
      </c>
      <c r="EA2" s="38">
        <v>1</v>
      </c>
      <c r="EB2" s="39">
        <v>0</v>
      </c>
      <c r="EC2" s="39">
        <v>0</v>
      </c>
      <c r="ED2" s="39">
        <v>0</v>
      </c>
      <c r="EE2" s="40">
        <v>1</v>
      </c>
      <c r="EF2" s="39">
        <v>0</v>
      </c>
      <c r="EG2" s="39">
        <v>1</v>
      </c>
      <c r="EH2" s="39">
        <v>0</v>
      </c>
      <c r="EI2" s="39">
        <v>0</v>
      </c>
      <c r="EJ2" s="39">
        <v>1</v>
      </c>
      <c r="EK2" s="38">
        <v>1</v>
      </c>
      <c r="EL2" s="39">
        <v>0</v>
      </c>
      <c r="EM2" s="39">
        <v>0</v>
      </c>
      <c r="EN2" s="39">
        <v>0</v>
      </c>
      <c r="EO2" s="40">
        <v>0</v>
      </c>
      <c r="EP2" s="39">
        <v>0</v>
      </c>
      <c r="EQ2" s="39">
        <v>0</v>
      </c>
      <c r="ER2" s="39">
        <v>1</v>
      </c>
      <c r="ES2" s="39">
        <v>0</v>
      </c>
      <c r="ET2" s="41">
        <v>0</v>
      </c>
      <c r="EU2" s="42">
        <v>1</v>
      </c>
      <c r="EV2" s="39">
        <v>0</v>
      </c>
      <c r="EW2" s="39">
        <v>0</v>
      </c>
      <c r="EX2" s="39">
        <v>0</v>
      </c>
      <c r="EY2" s="41">
        <v>1</v>
      </c>
      <c r="EZ2" s="42">
        <v>1</v>
      </c>
      <c r="FA2" s="39">
        <v>0</v>
      </c>
      <c r="FB2" s="39">
        <v>0</v>
      </c>
      <c r="FC2" s="39">
        <v>0</v>
      </c>
      <c r="FD2" s="41">
        <v>1</v>
      </c>
      <c r="FE2" s="42">
        <v>1</v>
      </c>
      <c r="FF2" s="39">
        <v>0</v>
      </c>
      <c r="FG2" s="39">
        <v>0</v>
      </c>
      <c r="FH2" s="39">
        <v>0</v>
      </c>
      <c r="FI2" s="41">
        <v>1</v>
      </c>
      <c r="FJ2" s="42">
        <v>1</v>
      </c>
      <c r="FK2" s="39">
        <v>0</v>
      </c>
      <c r="FL2" s="39">
        <v>0</v>
      </c>
      <c r="FM2" s="39">
        <v>0</v>
      </c>
      <c r="FN2" s="41">
        <v>1</v>
      </c>
      <c r="FO2" s="42">
        <v>0</v>
      </c>
      <c r="FP2" s="39">
        <v>1</v>
      </c>
      <c r="FQ2" s="39">
        <v>0</v>
      </c>
      <c r="FR2" s="39">
        <v>1</v>
      </c>
      <c r="FS2" s="41">
        <v>0</v>
      </c>
      <c r="FT2" s="42">
        <v>1</v>
      </c>
      <c r="FU2" s="39">
        <v>0</v>
      </c>
      <c r="FV2" s="39">
        <v>0</v>
      </c>
      <c r="FW2" s="39">
        <v>0</v>
      </c>
      <c r="FX2" s="41">
        <v>1</v>
      </c>
    </row>
    <row r="3" spans="1:190">
      <c r="A3" s="38">
        <v>0</v>
      </c>
      <c r="B3" s="39">
        <v>0</v>
      </c>
      <c r="C3" s="39">
        <v>1</v>
      </c>
      <c r="D3" s="39">
        <v>0</v>
      </c>
      <c r="E3" s="40">
        <v>0</v>
      </c>
      <c r="F3" s="38">
        <v>0</v>
      </c>
      <c r="G3" s="39">
        <v>0</v>
      </c>
      <c r="H3" s="39">
        <v>0</v>
      </c>
      <c r="I3" s="39">
        <v>0</v>
      </c>
      <c r="J3" s="40">
        <v>1</v>
      </c>
      <c r="K3" s="38">
        <v>0</v>
      </c>
      <c r="L3" s="39">
        <v>0</v>
      </c>
      <c r="M3" s="39">
        <v>0</v>
      </c>
      <c r="N3" s="39">
        <v>0</v>
      </c>
      <c r="O3" s="40">
        <v>1</v>
      </c>
      <c r="P3" s="38">
        <v>1</v>
      </c>
      <c r="Q3" s="39">
        <v>0</v>
      </c>
      <c r="R3" s="39">
        <v>0</v>
      </c>
      <c r="S3" s="39">
        <v>0</v>
      </c>
      <c r="T3" s="40">
        <v>1</v>
      </c>
      <c r="U3" s="38">
        <v>1</v>
      </c>
      <c r="V3" s="39">
        <v>0</v>
      </c>
      <c r="W3" s="39">
        <v>0</v>
      </c>
      <c r="X3" s="39">
        <v>0</v>
      </c>
      <c r="Y3" s="40">
        <v>0</v>
      </c>
      <c r="Z3" s="38">
        <v>1</v>
      </c>
      <c r="AA3" s="39">
        <v>0</v>
      </c>
      <c r="AB3" s="39">
        <v>0</v>
      </c>
      <c r="AC3" s="39">
        <v>0</v>
      </c>
      <c r="AD3" s="40">
        <v>0</v>
      </c>
      <c r="AE3" s="38">
        <v>0</v>
      </c>
      <c r="AF3" s="39">
        <v>0</v>
      </c>
      <c r="AG3" s="39">
        <v>0</v>
      </c>
      <c r="AH3" s="39">
        <v>0</v>
      </c>
      <c r="AI3" s="40">
        <v>1</v>
      </c>
      <c r="AJ3" s="38">
        <v>1</v>
      </c>
      <c r="AK3" s="39">
        <v>0</v>
      </c>
      <c r="AL3" s="39">
        <v>0</v>
      </c>
      <c r="AM3" s="39">
        <v>0</v>
      </c>
      <c r="AN3" s="40">
        <v>1</v>
      </c>
      <c r="AO3" s="38">
        <v>1</v>
      </c>
      <c r="AP3" s="39">
        <v>0</v>
      </c>
      <c r="AQ3" s="39">
        <v>0</v>
      </c>
      <c r="AR3" s="39">
        <v>0</v>
      </c>
      <c r="AS3" s="40">
        <v>1</v>
      </c>
      <c r="AT3" s="38">
        <v>1</v>
      </c>
      <c r="AU3" s="39">
        <v>0</v>
      </c>
      <c r="AV3" s="39">
        <v>0</v>
      </c>
      <c r="AW3" s="39">
        <v>0</v>
      </c>
      <c r="AX3" s="40">
        <v>1</v>
      </c>
      <c r="AY3" s="38">
        <v>1</v>
      </c>
      <c r="AZ3" s="39">
        <v>0</v>
      </c>
      <c r="BA3" s="39">
        <v>0</v>
      </c>
      <c r="BB3" s="39">
        <v>0</v>
      </c>
      <c r="BC3" s="40">
        <v>1</v>
      </c>
      <c r="BD3" s="38">
        <v>1</v>
      </c>
      <c r="BE3" s="39">
        <v>0</v>
      </c>
      <c r="BF3" s="39">
        <v>0</v>
      </c>
      <c r="BG3" s="39">
        <v>0</v>
      </c>
      <c r="BH3" s="40">
        <v>1</v>
      </c>
      <c r="BI3" s="38">
        <v>1</v>
      </c>
      <c r="BJ3" s="39">
        <v>0</v>
      </c>
      <c r="BK3" s="39">
        <v>0</v>
      </c>
      <c r="BL3" s="39">
        <v>0</v>
      </c>
      <c r="BM3" s="40">
        <v>0</v>
      </c>
      <c r="BN3" s="38">
        <v>1</v>
      </c>
      <c r="BO3" s="39">
        <v>0</v>
      </c>
      <c r="BP3" s="39">
        <v>0</v>
      </c>
      <c r="BQ3" s="39">
        <v>0</v>
      </c>
      <c r="BR3" s="40">
        <v>1</v>
      </c>
      <c r="BS3" s="38">
        <v>1</v>
      </c>
      <c r="BT3" s="39">
        <v>0</v>
      </c>
      <c r="BU3" s="39">
        <v>0</v>
      </c>
      <c r="BV3" s="39">
        <v>0</v>
      </c>
      <c r="BW3" s="40">
        <v>0</v>
      </c>
      <c r="BX3" s="38">
        <v>1</v>
      </c>
      <c r="BY3" s="39">
        <v>0</v>
      </c>
      <c r="BZ3" s="39">
        <v>0</v>
      </c>
      <c r="CA3" s="39">
        <v>0</v>
      </c>
      <c r="CB3" s="40">
        <v>0</v>
      </c>
      <c r="CC3" s="38">
        <v>1</v>
      </c>
      <c r="CD3" s="39">
        <v>0</v>
      </c>
      <c r="CE3" s="39">
        <v>0</v>
      </c>
      <c r="CF3" s="39">
        <v>0</v>
      </c>
      <c r="CG3" s="40">
        <v>0</v>
      </c>
      <c r="CH3" s="38">
        <v>1</v>
      </c>
      <c r="CI3" s="39">
        <v>0</v>
      </c>
      <c r="CJ3" s="39">
        <v>0</v>
      </c>
      <c r="CK3" s="39">
        <v>0</v>
      </c>
      <c r="CL3" s="40">
        <v>1</v>
      </c>
      <c r="CM3" s="38">
        <v>0</v>
      </c>
      <c r="CN3" s="39">
        <v>0</v>
      </c>
      <c r="CO3" s="39">
        <v>1</v>
      </c>
      <c r="CP3" s="39">
        <v>0</v>
      </c>
      <c r="CQ3" s="40">
        <v>0</v>
      </c>
      <c r="CR3" s="38">
        <v>0</v>
      </c>
      <c r="CS3" s="39">
        <v>0</v>
      </c>
      <c r="CT3" s="39">
        <v>0</v>
      </c>
      <c r="CU3" s="39">
        <v>1</v>
      </c>
      <c r="CV3" s="40">
        <v>0</v>
      </c>
      <c r="CW3" s="38">
        <v>1</v>
      </c>
      <c r="CX3" s="39">
        <v>0</v>
      </c>
      <c r="CY3" s="39">
        <v>1</v>
      </c>
      <c r="CZ3" s="39">
        <v>0</v>
      </c>
      <c r="DA3" s="40">
        <v>0</v>
      </c>
      <c r="DB3" s="38">
        <v>0</v>
      </c>
      <c r="DC3" s="39">
        <v>1</v>
      </c>
      <c r="DD3" s="39">
        <v>0</v>
      </c>
      <c r="DE3" s="39">
        <v>0</v>
      </c>
      <c r="DF3" s="40">
        <v>0</v>
      </c>
      <c r="DG3" s="38">
        <v>1</v>
      </c>
      <c r="DH3" s="39">
        <v>0</v>
      </c>
      <c r="DI3" s="39">
        <v>1</v>
      </c>
      <c r="DJ3" s="39">
        <v>0</v>
      </c>
      <c r="DK3" s="40">
        <v>1</v>
      </c>
      <c r="DL3" s="38">
        <v>1</v>
      </c>
      <c r="DM3" s="39">
        <v>0</v>
      </c>
      <c r="DN3" s="39">
        <v>1</v>
      </c>
      <c r="DO3" s="39">
        <v>0</v>
      </c>
      <c r="DP3" s="40">
        <v>1</v>
      </c>
      <c r="DQ3" s="38">
        <v>1</v>
      </c>
      <c r="DR3" s="39">
        <v>0</v>
      </c>
      <c r="DS3" s="39">
        <v>0</v>
      </c>
      <c r="DT3" s="39">
        <v>0</v>
      </c>
      <c r="DU3" s="40">
        <v>1</v>
      </c>
      <c r="DV3" s="38">
        <v>0</v>
      </c>
      <c r="DW3" s="39">
        <v>1</v>
      </c>
      <c r="DX3" s="39">
        <v>0</v>
      </c>
      <c r="DY3" s="39">
        <v>0</v>
      </c>
      <c r="DZ3" s="39">
        <v>1</v>
      </c>
      <c r="EA3" s="38">
        <v>1</v>
      </c>
      <c r="EB3" s="39">
        <v>0</v>
      </c>
      <c r="EC3" s="39">
        <v>0</v>
      </c>
      <c r="ED3" s="39">
        <v>0</v>
      </c>
      <c r="EE3" s="40">
        <v>1</v>
      </c>
      <c r="EF3" s="39">
        <v>0</v>
      </c>
      <c r="EG3" s="39">
        <v>1</v>
      </c>
      <c r="EH3" s="39">
        <v>0</v>
      </c>
      <c r="EI3" s="39">
        <v>0</v>
      </c>
      <c r="EJ3" s="39">
        <v>1</v>
      </c>
      <c r="EK3" s="38">
        <v>1</v>
      </c>
      <c r="EL3" s="39">
        <v>0</v>
      </c>
      <c r="EM3" s="39">
        <v>0</v>
      </c>
      <c r="EN3" s="39">
        <v>0</v>
      </c>
      <c r="EO3" s="40">
        <v>0</v>
      </c>
      <c r="EP3" s="39">
        <v>0</v>
      </c>
      <c r="EQ3" s="39">
        <v>0</v>
      </c>
      <c r="ER3" s="39">
        <v>1</v>
      </c>
      <c r="ES3" s="39">
        <v>0</v>
      </c>
      <c r="ET3" s="41">
        <v>0</v>
      </c>
      <c r="EU3" s="42">
        <v>1</v>
      </c>
      <c r="EV3" s="39">
        <v>0</v>
      </c>
      <c r="EW3" s="39">
        <v>0</v>
      </c>
      <c r="EX3" s="39">
        <v>0</v>
      </c>
      <c r="EY3" s="41">
        <v>1</v>
      </c>
      <c r="EZ3" s="42">
        <v>1</v>
      </c>
      <c r="FA3" s="39">
        <v>0</v>
      </c>
      <c r="FB3" s="39">
        <v>0</v>
      </c>
      <c r="FC3" s="39">
        <v>0</v>
      </c>
      <c r="FD3" s="41">
        <v>1</v>
      </c>
      <c r="FE3" s="42">
        <v>1</v>
      </c>
      <c r="FF3" s="39">
        <v>0</v>
      </c>
      <c r="FG3" s="39">
        <v>0</v>
      </c>
      <c r="FH3" s="39">
        <v>0</v>
      </c>
      <c r="FI3" s="41">
        <v>1</v>
      </c>
      <c r="FJ3" s="42">
        <v>0</v>
      </c>
      <c r="FK3" s="39">
        <v>1</v>
      </c>
      <c r="FL3" s="39">
        <v>0</v>
      </c>
      <c r="FM3" s="39">
        <v>1</v>
      </c>
      <c r="FN3" s="41">
        <v>0</v>
      </c>
      <c r="FO3" s="42">
        <v>0</v>
      </c>
      <c r="FP3" s="39">
        <v>1</v>
      </c>
      <c r="FQ3" s="39">
        <v>0</v>
      </c>
      <c r="FR3" s="39">
        <v>1</v>
      </c>
      <c r="FS3" s="41">
        <v>0</v>
      </c>
      <c r="FT3" s="42">
        <v>0</v>
      </c>
      <c r="FU3" s="39">
        <v>0</v>
      </c>
      <c r="FV3" s="39">
        <v>1</v>
      </c>
      <c r="FW3" s="39">
        <v>1</v>
      </c>
      <c r="FX3" s="41">
        <v>1</v>
      </c>
    </row>
    <row r="4" spans="1:190">
      <c r="A4" s="38">
        <v>0</v>
      </c>
      <c r="B4" s="39">
        <v>0</v>
      </c>
      <c r="C4" s="39">
        <v>1</v>
      </c>
      <c r="D4" s="39">
        <v>0</v>
      </c>
      <c r="E4" s="40">
        <v>0</v>
      </c>
      <c r="F4" s="38">
        <v>1</v>
      </c>
      <c r="G4" s="39">
        <v>1</v>
      </c>
      <c r="H4" s="39">
        <v>1</v>
      </c>
      <c r="I4" s="39">
        <v>1</v>
      </c>
      <c r="J4" s="40">
        <v>1</v>
      </c>
      <c r="K4" s="38">
        <v>0</v>
      </c>
      <c r="L4" s="39">
        <v>1</v>
      </c>
      <c r="M4" s="39">
        <v>1</v>
      </c>
      <c r="N4" s="39">
        <v>1</v>
      </c>
      <c r="O4" s="40">
        <v>1</v>
      </c>
      <c r="P4" s="38">
        <v>1</v>
      </c>
      <c r="Q4" s="39">
        <v>1</v>
      </c>
      <c r="R4" s="39">
        <v>1</v>
      </c>
      <c r="S4" s="39">
        <v>1</v>
      </c>
      <c r="T4" s="40">
        <v>1</v>
      </c>
      <c r="U4" s="38">
        <v>1</v>
      </c>
      <c r="V4" s="39">
        <v>1</v>
      </c>
      <c r="W4" s="39">
        <v>1</v>
      </c>
      <c r="X4" s="39">
        <v>1</v>
      </c>
      <c r="Y4" s="40">
        <v>1</v>
      </c>
      <c r="Z4" s="38">
        <v>1</v>
      </c>
      <c r="AA4" s="39">
        <v>1</v>
      </c>
      <c r="AB4" s="39">
        <v>1</v>
      </c>
      <c r="AC4" s="39">
        <v>1</v>
      </c>
      <c r="AD4" s="40">
        <v>1</v>
      </c>
      <c r="AE4" s="38">
        <v>0</v>
      </c>
      <c r="AF4" s="39">
        <v>0</v>
      </c>
      <c r="AG4" s="39">
        <v>0</v>
      </c>
      <c r="AH4" s="39">
        <v>0</v>
      </c>
      <c r="AI4" s="40">
        <v>1</v>
      </c>
      <c r="AJ4" s="38">
        <v>1</v>
      </c>
      <c r="AK4" s="39">
        <v>1</v>
      </c>
      <c r="AL4" s="39">
        <v>1</v>
      </c>
      <c r="AM4" s="39">
        <v>1</v>
      </c>
      <c r="AN4" s="40">
        <v>1</v>
      </c>
      <c r="AO4" s="38">
        <v>1</v>
      </c>
      <c r="AP4" s="39">
        <v>1</v>
      </c>
      <c r="AQ4" s="39">
        <v>1</v>
      </c>
      <c r="AR4" s="39">
        <v>1</v>
      </c>
      <c r="AS4" s="40">
        <v>1</v>
      </c>
      <c r="AT4" s="38">
        <v>1</v>
      </c>
      <c r="AU4" s="39">
        <v>0</v>
      </c>
      <c r="AV4" s="39">
        <v>0</v>
      </c>
      <c r="AW4" s="39">
        <v>0</v>
      </c>
      <c r="AX4" s="40">
        <v>1</v>
      </c>
      <c r="AY4" s="38">
        <v>1</v>
      </c>
      <c r="AZ4" s="39">
        <v>0</v>
      </c>
      <c r="BA4" s="39">
        <v>0</v>
      </c>
      <c r="BB4" s="39">
        <v>0</v>
      </c>
      <c r="BC4" s="40">
        <v>1</v>
      </c>
      <c r="BD4" s="38">
        <v>1</v>
      </c>
      <c r="BE4" s="39">
        <v>1</v>
      </c>
      <c r="BF4" s="39">
        <v>1</v>
      </c>
      <c r="BG4" s="39">
        <v>1</v>
      </c>
      <c r="BH4" s="40">
        <v>0</v>
      </c>
      <c r="BI4" s="38">
        <v>1</v>
      </c>
      <c r="BJ4" s="39">
        <v>0</v>
      </c>
      <c r="BK4" s="39">
        <v>0</v>
      </c>
      <c r="BL4" s="39">
        <v>0</v>
      </c>
      <c r="BM4" s="40">
        <v>0</v>
      </c>
      <c r="BN4" s="38">
        <v>1</v>
      </c>
      <c r="BO4" s="39">
        <v>0</v>
      </c>
      <c r="BP4" s="39">
        <v>0</v>
      </c>
      <c r="BQ4" s="39">
        <v>0</v>
      </c>
      <c r="BR4" s="40">
        <v>1</v>
      </c>
      <c r="BS4" s="38">
        <v>1</v>
      </c>
      <c r="BT4" s="39">
        <v>1</v>
      </c>
      <c r="BU4" s="39">
        <v>1</v>
      </c>
      <c r="BV4" s="39">
        <v>0</v>
      </c>
      <c r="BW4" s="40">
        <v>0</v>
      </c>
      <c r="BX4" s="38">
        <v>1</v>
      </c>
      <c r="BY4" s="39">
        <v>1</v>
      </c>
      <c r="BZ4" s="39">
        <v>1</v>
      </c>
      <c r="CA4" s="39">
        <v>0</v>
      </c>
      <c r="CB4" s="40">
        <v>0</v>
      </c>
      <c r="CC4" s="38">
        <v>1</v>
      </c>
      <c r="CD4" s="39">
        <v>0</v>
      </c>
      <c r="CE4" s="39">
        <v>0</v>
      </c>
      <c r="CF4" s="39">
        <v>1</v>
      </c>
      <c r="CG4" s="40">
        <v>1</v>
      </c>
      <c r="CH4" s="38">
        <v>1</v>
      </c>
      <c r="CI4" s="39">
        <v>1</v>
      </c>
      <c r="CJ4" s="39">
        <v>1</v>
      </c>
      <c r="CK4" s="39">
        <v>1</v>
      </c>
      <c r="CL4" s="40">
        <v>1</v>
      </c>
      <c r="CM4" s="38">
        <v>0</v>
      </c>
      <c r="CN4" s="39">
        <v>0</v>
      </c>
      <c r="CO4" s="39">
        <v>1</v>
      </c>
      <c r="CP4" s="39">
        <v>0</v>
      </c>
      <c r="CQ4" s="40">
        <v>0</v>
      </c>
      <c r="CR4" s="38">
        <v>0</v>
      </c>
      <c r="CS4" s="39">
        <v>0</v>
      </c>
      <c r="CT4" s="39">
        <v>0</v>
      </c>
      <c r="CU4" s="39">
        <v>1</v>
      </c>
      <c r="CV4" s="40">
        <v>0</v>
      </c>
      <c r="CW4" s="38">
        <v>1</v>
      </c>
      <c r="CX4" s="39">
        <v>1</v>
      </c>
      <c r="CY4" s="39">
        <v>0</v>
      </c>
      <c r="CZ4" s="39">
        <v>0</v>
      </c>
      <c r="DA4" s="40">
        <v>0</v>
      </c>
      <c r="DB4" s="38">
        <v>0</v>
      </c>
      <c r="DC4" s="39">
        <v>1</v>
      </c>
      <c r="DD4" s="39">
        <v>0</v>
      </c>
      <c r="DE4" s="39">
        <v>0</v>
      </c>
      <c r="DF4" s="40">
        <v>0</v>
      </c>
      <c r="DG4" s="38">
        <v>1</v>
      </c>
      <c r="DH4" s="39">
        <v>0</v>
      </c>
      <c r="DI4" s="39">
        <v>1</v>
      </c>
      <c r="DJ4" s="39">
        <v>0</v>
      </c>
      <c r="DK4" s="40">
        <v>1</v>
      </c>
      <c r="DL4" s="38">
        <v>1</v>
      </c>
      <c r="DM4" s="39">
        <v>0</v>
      </c>
      <c r="DN4" s="39">
        <v>1</v>
      </c>
      <c r="DO4" s="39">
        <v>0</v>
      </c>
      <c r="DP4" s="40">
        <v>1</v>
      </c>
      <c r="DQ4" s="38">
        <v>1</v>
      </c>
      <c r="DR4" s="39">
        <v>0</v>
      </c>
      <c r="DS4" s="39">
        <v>0</v>
      </c>
      <c r="DT4" s="39">
        <v>0</v>
      </c>
      <c r="DU4" s="40">
        <v>1</v>
      </c>
      <c r="DV4" s="38">
        <v>0</v>
      </c>
      <c r="DW4" s="39">
        <v>1</v>
      </c>
      <c r="DX4" s="39">
        <v>0</v>
      </c>
      <c r="DY4" s="39">
        <v>0</v>
      </c>
      <c r="DZ4" s="39">
        <v>1</v>
      </c>
      <c r="EA4" s="38">
        <v>1</v>
      </c>
      <c r="EB4" s="39">
        <v>0</v>
      </c>
      <c r="EC4" s="39">
        <v>1</v>
      </c>
      <c r="ED4" s="39">
        <v>0</v>
      </c>
      <c r="EE4" s="40">
        <v>1</v>
      </c>
      <c r="EF4" s="39">
        <v>0</v>
      </c>
      <c r="EG4" s="39">
        <v>1</v>
      </c>
      <c r="EH4" s="39">
        <v>1</v>
      </c>
      <c r="EI4" s="39">
        <v>1</v>
      </c>
      <c r="EJ4" s="39">
        <v>1</v>
      </c>
      <c r="EK4" s="38">
        <v>1</v>
      </c>
      <c r="EL4" s="39">
        <v>1</v>
      </c>
      <c r="EM4" s="39">
        <v>1</v>
      </c>
      <c r="EN4" s="39">
        <v>1</v>
      </c>
      <c r="EO4" s="40">
        <v>1</v>
      </c>
      <c r="EP4" s="39">
        <v>0</v>
      </c>
      <c r="EQ4" s="39">
        <v>0</v>
      </c>
      <c r="ER4" s="39">
        <v>1</v>
      </c>
      <c r="ES4" s="39">
        <v>0</v>
      </c>
      <c r="ET4" s="41">
        <v>0</v>
      </c>
      <c r="EU4" s="42">
        <v>1</v>
      </c>
      <c r="EV4" s="39">
        <v>0</v>
      </c>
      <c r="EW4" s="39">
        <v>0</v>
      </c>
      <c r="EX4" s="39">
        <v>0</v>
      </c>
      <c r="EY4" s="41">
        <v>1</v>
      </c>
      <c r="EZ4" s="42">
        <v>1</v>
      </c>
      <c r="FA4" s="39">
        <v>1</v>
      </c>
      <c r="FB4" s="39">
        <v>0</v>
      </c>
      <c r="FC4" s="39">
        <v>1</v>
      </c>
      <c r="FD4" s="41">
        <v>0</v>
      </c>
      <c r="FE4" s="42">
        <v>1</v>
      </c>
      <c r="FF4" s="39">
        <v>0</v>
      </c>
      <c r="FG4" s="39">
        <v>0</v>
      </c>
      <c r="FH4" s="39">
        <v>0</v>
      </c>
      <c r="FI4" s="41">
        <v>1</v>
      </c>
      <c r="FJ4" s="42">
        <v>0</v>
      </c>
      <c r="FK4" s="39">
        <v>0</v>
      </c>
      <c r="FL4" s="39">
        <v>1</v>
      </c>
      <c r="FM4" s="39">
        <v>0</v>
      </c>
      <c r="FN4" s="41">
        <v>0</v>
      </c>
      <c r="FO4" s="42">
        <v>0</v>
      </c>
      <c r="FP4" s="39">
        <v>0</v>
      </c>
      <c r="FQ4" s="39">
        <v>1</v>
      </c>
      <c r="FR4" s="39">
        <v>0</v>
      </c>
      <c r="FS4" s="41">
        <v>0</v>
      </c>
      <c r="FT4" s="42">
        <v>0</v>
      </c>
      <c r="FU4" s="39">
        <v>1</v>
      </c>
      <c r="FV4" s="39">
        <v>1</v>
      </c>
      <c r="FW4" s="39">
        <v>0</v>
      </c>
      <c r="FX4" s="41">
        <v>0</v>
      </c>
    </row>
    <row r="5" spans="1:190">
      <c r="A5" s="38">
        <v>0</v>
      </c>
      <c r="B5" s="39">
        <v>0</v>
      </c>
      <c r="C5" s="39">
        <v>1</v>
      </c>
      <c r="D5" s="39">
        <v>0</v>
      </c>
      <c r="E5" s="40">
        <v>0</v>
      </c>
      <c r="F5" s="38">
        <v>1</v>
      </c>
      <c r="G5" s="39">
        <v>0</v>
      </c>
      <c r="H5" s="39">
        <v>0</v>
      </c>
      <c r="I5" s="39">
        <v>0</v>
      </c>
      <c r="J5" s="40">
        <v>0</v>
      </c>
      <c r="K5" s="38">
        <v>0</v>
      </c>
      <c r="L5" s="39">
        <v>0</v>
      </c>
      <c r="M5" s="39">
        <v>0</v>
      </c>
      <c r="N5" s="39">
        <v>0</v>
      </c>
      <c r="O5" s="40">
        <v>1</v>
      </c>
      <c r="P5" s="38">
        <v>0</v>
      </c>
      <c r="Q5" s="39">
        <v>0</v>
      </c>
      <c r="R5" s="39">
        <v>0</v>
      </c>
      <c r="S5" s="39">
        <v>0</v>
      </c>
      <c r="T5" s="40">
        <v>1</v>
      </c>
      <c r="U5" s="38">
        <v>0</v>
      </c>
      <c r="V5" s="39">
        <v>0</v>
      </c>
      <c r="W5" s="39">
        <v>0</v>
      </c>
      <c r="X5" s="39">
        <v>0</v>
      </c>
      <c r="Y5" s="40">
        <v>1</v>
      </c>
      <c r="Z5" s="38">
        <v>1</v>
      </c>
      <c r="AA5" s="39">
        <v>0</v>
      </c>
      <c r="AB5" s="39">
        <v>0</v>
      </c>
      <c r="AC5" s="39">
        <v>0</v>
      </c>
      <c r="AD5" s="40">
        <v>1</v>
      </c>
      <c r="AE5" s="38">
        <v>0</v>
      </c>
      <c r="AF5" s="39">
        <v>0</v>
      </c>
      <c r="AG5" s="39">
        <v>0</v>
      </c>
      <c r="AH5" s="39">
        <v>0</v>
      </c>
      <c r="AI5" s="40">
        <v>1</v>
      </c>
      <c r="AJ5" s="38">
        <v>1</v>
      </c>
      <c r="AK5" s="39">
        <v>0</v>
      </c>
      <c r="AL5" s="39">
        <v>0</v>
      </c>
      <c r="AM5" s="39">
        <v>0</v>
      </c>
      <c r="AN5" s="40">
        <v>1</v>
      </c>
      <c r="AO5" s="38">
        <v>0</v>
      </c>
      <c r="AP5" s="39">
        <v>0</v>
      </c>
      <c r="AQ5" s="39">
        <v>0</v>
      </c>
      <c r="AR5" s="39">
        <v>0</v>
      </c>
      <c r="AS5" s="40">
        <v>1</v>
      </c>
      <c r="AT5" s="38">
        <v>1</v>
      </c>
      <c r="AU5" s="39">
        <v>0</v>
      </c>
      <c r="AV5" s="39">
        <v>0</v>
      </c>
      <c r="AW5" s="39">
        <v>0</v>
      </c>
      <c r="AX5" s="40">
        <v>1</v>
      </c>
      <c r="AY5" s="38">
        <v>1</v>
      </c>
      <c r="AZ5" s="39">
        <v>1</v>
      </c>
      <c r="BA5" s="39">
        <v>1</v>
      </c>
      <c r="BB5" s="39">
        <v>1</v>
      </c>
      <c r="BC5" s="40">
        <v>1</v>
      </c>
      <c r="BD5" s="38">
        <v>1</v>
      </c>
      <c r="BE5" s="39">
        <v>0</v>
      </c>
      <c r="BF5" s="39">
        <v>0</v>
      </c>
      <c r="BG5" s="39">
        <v>0</v>
      </c>
      <c r="BH5" s="40">
        <v>1</v>
      </c>
      <c r="BI5" s="38">
        <v>1</v>
      </c>
      <c r="BJ5" s="39">
        <v>0</v>
      </c>
      <c r="BK5" s="39">
        <v>0</v>
      </c>
      <c r="BL5" s="39">
        <v>0</v>
      </c>
      <c r="BM5" s="40">
        <v>0</v>
      </c>
      <c r="BN5" s="38">
        <v>1</v>
      </c>
      <c r="BO5" s="39">
        <v>0</v>
      </c>
      <c r="BP5" s="39">
        <v>0</v>
      </c>
      <c r="BQ5" s="39">
        <v>0</v>
      </c>
      <c r="BR5" s="40">
        <v>1</v>
      </c>
      <c r="BS5" s="38">
        <v>1</v>
      </c>
      <c r="BT5" s="39">
        <v>0</v>
      </c>
      <c r="BU5" s="39">
        <v>0</v>
      </c>
      <c r="BV5" s="39">
        <v>0</v>
      </c>
      <c r="BW5" s="40">
        <v>0</v>
      </c>
      <c r="BX5" s="38">
        <v>1</v>
      </c>
      <c r="BY5" s="39">
        <v>0</v>
      </c>
      <c r="BZ5" s="39">
        <v>0</v>
      </c>
      <c r="CA5" s="39">
        <v>0</v>
      </c>
      <c r="CB5" s="40">
        <v>0</v>
      </c>
      <c r="CC5" s="38">
        <v>1</v>
      </c>
      <c r="CD5" s="39">
        <v>0</v>
      </c>
      <c r="CE5" s="39">
        <v>0</v>
      </c>
      <c r="CF5" s="39">
        <v>0</v>
      </c>
      <c r="CG5" s="40">
        <v>1</v>
      </c>
      <c r="CH5" s="38">
        <v>1</v>
      </c>
      <c r="CI5" s="39">
        <v>0</v>
      </c>
      <c r="CJ5" s="39">
        <v>0</v>
      </c>
      <c r="CK5" s="39">
        <v>0</v>
      </c>
      <c r="CL5" s="40">
        <v>1</v>
      </c>
      <c r="CM5" s="38">
        <v>0</v>
      </c>
      <c r="CN5" s="39">
        <v>0</v>
      </c>
      <c r="CO5" s="39">
        <v>1</v>
      </c>
      <c r="CP5" s="39">
        <v>0</v>
      </c>
      <c r="CQ5" s="40">
        <v>0</v>
      </c>
      <c r="CR5" s="38">
        <v>0</v>
      </c>
      <c r="CS5" s="39">
        <v>0</v>
      </c>
      <c r="CT5" s="39">
        <v>0</v>
      </c>
      <c r="CU5" s="39">
        <v>1</v>
      </c>
      <c r="CV5" s="40">
        <v>0</v>
      </c>
      <c r="CW5" s="38">
        <v>1</v>
      </c>
      <c r="CX5" s="39">
        <v>0</v>
      </c>
      <c r="CY5" s="39">
        <v>1</v>
      </c>
      <c r="CZ5" s="39">
        <v>0</v>
      </c>
      <c r="DA5" s="40">
        <v>0</v>
      </c>
      <c r="DB5" s="38">
        <v>0</v>
      </c>
      <c r="DC5" s="39">
        <v>1</v>
      </c>
      <c r="DD5" s="39">
        <v>0</v>
      </c>
      <c r="DE5" s="39">
        <v>0</v>
      </c>
      <c r="DF5" s="40">
        <v>0</v>
      </c>
      <c r="DG5" s="38">
        <v>1</v>
      </c>
      <c r="DH5" s="39">
        <v>0</v>
      </c>
      <c r="DI5" s="39">
        <v>0</v>
      </c>
      <c r="DJ5" s="39">
        <v>0</v>
      </c>
      <c r="DK5" s="40">
        <v>1</v>
      </c>
      <c r="DL5" s="38">
        <v>1</v>
      </c>
      <c r="DM5" s="39">
        <v>0</v>
      </c>
      <c r="DN5" s="39">
        <v>1</v>
      </c>
      <c r="DO5" s="39">
        <v>0</v>
      </c>
      <c r="DP5" s="40">
        <v>1</v>
      </c>
      <c r="DQ5" s="38">
        <v>1</v>
      </c>
      <c r="DR5" s="39">
        <v>0</v>
      </c>
      <c r="DS5" s="39">
        <v>0</v>
      </c>
      <c r="DT5" s="39">
        <v>0</v>
      </c>
      <c r="DU5" s="40">
        <v>1</v>
      </c>
      <c r="DV5" s="38">
        <v>0</v>
      </c>
      <c r="DW5" s="39">
        <v>1</v>
      </c>
      <c r="DX5" s="39">
        <v>1</v>
      </c>
      <c r="DY5" s="39">
        <v>1</v>
      </c>
      <c r="DZ5" s="39">
        <v>0</v>
      </c>
      <c r="EA5" s="38">
        <v>1</v>
      </c>
      <c r="EB5" s="39">
        <v>1</v>
      </c>
      <c r="EC5" s="39">
        <v>1</v>
      </c>
      <c r="ED5" s="39">
        <v>1</v>
      </c>
      <c r="EE5" s="40">
        <v>1</v>
      </c>
      <c r="EF5" s="39">
        <v>0</v>
      </c>
      <c r="EG5" s="39">
        <v>1</v>
      </c>
      <c r="EH5" s="39">
        <v>1</v>
      </c>
      <c r="EI5" s="39">
        <v>0</v>
      </c>
      <c r="EJ5" s="39">
        <v>0</v>
      </c>
      <c r="EK5" s="38">
        <v>0</v>
      </c>
      <c r="EL5" s="39">
        <v>0</v>
      </c>
      <c r="EM5" s="39">
        <v>0</v>
      </c>
      <c r="EN5" s="39">
        <v>0</v>
      </c>
      <c r="EO5" s="40">
        <v>1</v>
      </c>
      <c r="EP5" s="39">
        <v>0</v>
      </c>
      <c r="EQ5" s="39">
        <v>0</v>
      </c>
      <c r="ER5" s="39">
        <v>1</v>
      </c>
      <c r="ES5" s="39">
        <v>0</v>
      </c>
      <c r="ET5" s="41">
        <v>0</v>
      </c>
      <c r="EU5" s="42">
        <v>1</v>
      </c>
      <c r="EV5" s="39">
        <v>0</v>
      </c>
      <c r="EW5" s="39">
        <v>0</v>
      </c>
      <c r="EX5" s="39">
        <v>0</v>
      </c>
      <c r="EY5" s="41">
        <v>1</v>
      </c>
      <c r="EZ5" s="42">
        <v>0</v>
      </c>
      <c r="FA5" s="39">
        <v>1</v>
      </c>
      <c r="FB5" s="39">
        <v>0</v>
      </c>
      <c r="FC5" s="39">
        <v>1</v>
      </c>
      <c r="FD5" s="41">
        <v>0</v>
      </c>
      <c r="FE5" s="42">
        <v>1</v>
      </c>
      <c r="FF5" s="39">
        <v>0</v>
      </c>
      <c r="FG5" s="39">
        <v>1</v>
      </c>
      <c r="FH5" s="39">
        <v>0</v>
      </c>
      <c r="FI5" s="41">
        <v>1</v>
      </c>
      <c r="FJ5" s="42">
        <v>0</v>
      </c>
      <c r="FK5" s="39">
        <v>1</v>
      </c>
      <c r="FL5" s="39">
        <v>0</v>
      </c>
      <c r="FM5" s="39">
        <v>1</v>
      </c>
      <c r="FN5" s="41">
        <v>0</v>
      </c>
      <c r="FO5" s="42">
        <v>0</v>
      </c>
      <c r="FP5" s="39">
        <v>0</v>
      </c>
      <c r="FQ5" s="39">
        <v>1</v>
      </c>
      <c r="FR5" s="39">
        <v>0</v>
      </c>
      <c r="FS5" s="41">
        <v>0</v>
      </c>
      <c r="FT5" s="42">
        <v>1</v>
      </c>
      <c r="FU5" s="39">
        <v>1</v>
      </c>
      <c r="FV5" s="39">
        <v>0</v>
      </c>
      <c r="FW5" s="39">
        <v>0</v>
      </c>
      <c r="FX5" s="41">
        <v>0</v>
      </c>
    </row>
    <row r="6" spans="1:190">
      <c r="A6" s="38">
        <v>0</v>
      </c>
      <c r="B6" s="39">
        <v>0</v>
      </c>
      <c r="C6" s="39">
        <v>1</v>
      </c>
      <c r="D6" s="39">
        <v>0</v>
      </c>
      <c r="E6" s="40">
        <v>0</v>
      </c>
      <c r="F6" s="38">
        <v>1</v>
      </c>
      <c r="G6" s="39">
        <v>0</v>
      </c>
      <c r="H6" s="39">
        <v>0</v>
      </c>
      <c r="I6" s="39">
        <v>0</v>
      </c>
      <c r="J6" s="40">
        <v>0</v>
      </c>
      <c r="K6" s="38">
        <v>0</v>
      </c>
      <c r="L6" s="39">
        <v>0</v>
      </c>
      <c r="M6" s="39">
        <v>0</v>
      </c>
      <c r="N6" s="39">
        <v>0</v>
      </c>
      <c r="O6" s="40">
        <v>1</v>
      </c>
      <c r="P6" s="38">
        <v>0</v>
      </c>
      <c r="Q6" s="39">
        <v>0</v>
      </c>
      <c r="R6" s="39">
        <v>0</v>
      </c>
      <c r="S6" s="39">
        <v>0</v>
      </c>
      <c r="T6" s="40">
        <v>1</v>
      </c>
      <c r="U6" s="38">
        <v>0</v>
      </c>
      <c r="V6" s="39">
        <v>0</v>
      </c>
      <c r="W6" s="39">
        <v>0</v>
      </c>
      <c r="X6" s="39">
        <v>0</v>
      </c>
      <c r="Y6" s="40">
        <v>1</v>
      </c>
      <c r="Z6" s="38">
        <v>1</v>
      </c>
      <c r="AA6" s="39">
        <v>0</v>
      </c>
      <c r="AB6" s="39">
        <v>0</v>
      </c>
      <c r="AC6" s="39">
        <v>0</v>
      </c>
      <c r="AD6" s="40">
        <v>1</v>
      </c>
      <c r="AE6" s="38">
        <v>0</v>
      </c>
      <c r="AF6" s="39">
        <v>0</v>
      </c>
      <c r="AG6" s="39">
        <v>0</v>
      </c>
      <c r="AH6" s="39">
        <v>0</v>
      </c>
      <c r="AI6" s="40">
        <v>1</v>
      </c>
      <c r="AJ6" s="38">
        <v>1</v>
      </c>
      <c r="AK6" s="39">
        <v>0</v>
      </c>
      <c r="AL6" s="39">
        <v>0</v>
      </c>
      <c r="AM6" s="39">
        <v>0</v>
      </c>
      <c r="AN6" s="40">
        <v>1</v>
      </c>
      <c r="AO6" s="38">
        <v>0</v>
      </c>
      <c r="AP6" s="39">
        <v>0</v>
      </c>
      <c r="AQ6" s="39">
        <v>0</v>
      </c>
      <c r="AR6" s="39">
        <v>0</v>
      </c>
      <c r="AS6" s="40">
        <v>1</v>
      </c>
      <c r="AT6" s="38">
        <v>1</v>
      </c>
      <c r="AU6" s="39">
        <v>0</v>
      </c>
      <c r="AV6" s="39">
        <v>0</v>
      </c>
      <c r="AW6" s="39">
        <v>0</v>
      </c>
      <c r="AX6" s="40">
        <v>1</v>
      </c>
      <c r="AY6" s="38">
        <v>1</v>
      </c>
      <c r="AZ6" s="39">
        <v>0</v>
      </c>
      <c r="BA6" s="39">
        <v>0</v>
      </c>
      <c r="BB6" s="39">
        <v>0</v>
      </c>
      <c r="BC6" s="40">
        <v>1</v>
      </c>
      <c r="BD6" s="38">
        <v>1</v>
      </c>
      <c r="BE6" s="39">
        <v>0</v>
      </c>
      <c r="BF6" s="39">
        <v>0</v>
      </c>
      <c r="BG6" s="39">
        <v>0</v>
      </c>
      <c r="BH6" s="40">
        <v>1</v>
      </c>
      <c r="BI6" s="38">
        <v>1</v>
      </c>
      <c r="BJ6" s="39">
        <v>0</v>
      </c>
      <c r="BK6" s="39">
        <v>0</v>
      </c>
      <c r="BL6" s="39">
        <v>0</v>
      </c>
      <c r="BM6" s="40">
        <v>0</v>
      </c>
      <c r="BN6" s="38">
        <v>1</v>
      </c>
      <c r="BO6" s="39">
        <v>0</v>
      </c>
      <c r="BP6" s="39">
        <v>0</v>
      </c>
      <c r="BQ6" s="39">
        <v>0</v>
      </c>
      <c r="BR6" s="40">
        <v>1</v>
      </c>
      <c r="BS6" s="38">
        <v>1</v>
      </c>
      <c r="BT6" s="39">
        <v>0</v>
      </c>
      <c r="BU6" s="39">
        <v>0</v>
      </c>
      <c r="BV6" s="39">
        <v>0</v>
      </c>
      <c r="BW6" s="40">
        <v>0</v>
      </c>
      <c r="BX6" s="38">
        <v>1</v>
      </c>
      <c r="BY6" s="39">
        <v>0</v>
      </c>
      <c r="BZ6" s="39">
        <v>0</v>
      </c>
      <c r="CA6" s="39">
        <v>0</v>
      </c>
      <c r="CB6" s="40">
        <v>0</v>
      </c>
      <c r="CC6" s="38">
        <v>1</v>
      </c>
      <c r="CD6" s="39">
        <v>0</v>
      </c>
      <c r="CE6" s="39">
        <v>0</v>
      </c>
      <c r="CF6" s="39">
        <v>0</v>
      </c>
      <c r="CG6" s="40">
        <v>1</v>
      </c>
      <c r="CH6" s="38">
        <v>1</v>
      </c>
      <c r="CI6" s="39">
        <v>0</v>
      </c>
      <c r="CJ6" s="39">
        <v>0</v>
      </c>
      <c r="CK6" s="39">
        <v>0</v>
      </c>
      <c r="CL6" s="40">
        <v>1</v>
      </c>
      <c r="CM6" s="38">
        <v>0</v>
      </c>
      <c r="CN6" s="39">
        <v>0</v>
      </c>
      <c r="CO6" s="39">
        <v>1</v>
      </c>
      <c r="CP6" s="39">
        <v>0</v>
      </c>
      <c r="CQ6" s="40">
        <v>0</v>
      </c>
      <c r="CR6" s="38">
        <v>1</v>
      </c>
      <c r="CS6" s="39">
        <v>0</v>
      </c>
      <c r="CT6" s="39">
        <v>0</v>
      </c>
      <c r="CU6" s="39">
        <v>1</v>
      </c>
      <c r="CV6" s="40">
        <v>0</v>
      </c>
      <c r="CW6" s="38">
        <v>1</v>
      </c>
      <c r="CX6" s="39">
        <v>0</v>
      </c>
      <c r="CY6" s="39">
        <v>0</v>
      </c>
      <c r="CZ6" s="39">
        <v>1</v>
      </c>
      <c r="DA6" s="40">
        <v>0</v>
      </c>
      <c r="DB6" s="38">
        <v>0</v>
      </c>
      <c r="DC6" s="39">
        <v>1</v>
      </c>
      <c r="DD6" s="39">
        <v>0</v>
      </c>
      <c r="DE6" s="39">
        <v>0</v>
      </c>
      <c r="DF6" s="40">
        <v>1</v>
      </c>
      <c r="DG6" s="38">
        <v>1</v>
      </c>
      <c r="DH6" s="39">
        <v>0</v>
      </c>
      <c r="DI6" s="39">
        <v>0</v>
      </c>
      <c r="DJ6" s="39">
        <v>0</v>
      </c>
      <c r="DK6" s="40">
        <v>1</v>
      </c>
      <c r="DL6" s="38">
        <v>1</v>
      </c>
      <c r="DM6" s="39">
        <v>0</v>
      </c>
      <c r="DN6" s="39">
        <v>0</v>
      </c>
      <c r="DO6" s="39">
        <v>1</v>
      </c>
      <c r="DP6" s="40">
        <v>1</v>
      </c>
      <c r="DQ6" s="38">
        <v>1</v>
      </c>
      <c r="DR6" s="39">
        <v>0</v>
      </c>
      <c r="DS6" s="39">
        <v>0</v>
      </c>
      <c r="DT6" s="39">
        <v>0</v>
      </c>
      <c r="DU6" s="40">
        <v>1</v>
      </c>
      <c r="DV6" s="38">
        <v>0</v>
      </c>
      <c r="DW6" s="39">
        <v>1</v>
      </c>
      <c r="DX6" s="39">
        <v>0</v>
      </c>
      <c r="DY6" s="39">
        <v>0</v>
      </c>
      <c r="DZ6" s="39">
        <v>0</v>
      </c>
      <c r="EA6" s="38">
        <v>0</v>
      </c>
      <c r="EB6" s="39">
        <v>0</v>
      </c>
      <c r="EC6" s="39">
        <v>1</v>
      </c>
      <c r="ED6" s="39">
        <v>0</v>
      </c>
      <c r="EE6" s="40">
        <v>0</v>
      </c>
      <c r="EF6" s="39">
        <v>0</v>
      </c>
      <c r="EG6" s="39">
        <v>1</v>
      </c>
      <c r="EH6" s="39">
        <v>0</v>
      </c>
      <c r="EI6" s="39">
        <v>1</v>
      </c>
      <c r="EJ6" s="39">
        <v>0</v>
      </c>
      <c r="EK6" s="38">
        <v>0</v>
      </c>
      <c r="EL6" s="39">
        <v>0</v>
      </c>
      <c r="EM6" s="39">
        <v>0</v>
      </c>
      <c r="EN6" s="39">
        <v>0</v>
      </c>
      <c r="EO6" s="40">
        <v>1</v>
      </c>
      <c r="EP6" s="39">
        <v>0</v>
      </c>
      <c r="EQ6" s="39">
        <v>0</v>
      </c>
      <c r="ER6" s="39">
        <v>1</v>
      </c>
      <c r="ES6" s="39">
        <v>0</v>
      </c>
      <c r="ET6" s="41">
        <v>0</v>
      </c>
      <c r="EU6" s="42">
        <v>1</v>
      </c>
      <c r="EV6" s="39">
        <v>0</v>
      </c>
      <c r="EW6" s="39">
        <v>0</v>
      </c>
      <c r="EX6" s="39">
        <v>0</v>
      </c>
      <c r="EY6" s="41">
        <v>1</v>
      </c>
      <c r="EZ6" s="42">
        <v>0</v>
      </c>
      <c r="FA6" s="39">
        <v>0</v>
      </c>
      <c r="FB6" s="39">
        <v>1</v>
      </c>
      <c r="FC6" s="39">
        <v>0</v>
      </c>
      <c r="FD6" s="41">
        <v>0</v>
      </c>
      <c r="FE6" s="42">
        <v>1</v>
      </c>
      <c r="FF6" s="39">
        <v>0</v>
      </c>
      <c r="FG6" s="39">
        <v>1</v>
      </c>
      <c r="FH6" s="39">
        <v>0</v>
      </c>
      <c r="FI6" s="41">
        <v>1</v>
      </c>
      <c r="FJ6" s="42">
        <v>1</v>
      </c>
      <c r="FK6" s="39">
        <v>0</v>
      </c>
      <c r="FL6" s="39">
        <v>0</v>
      </c>
      <c r="FM6" s="39">
        <v>0</v>
      </c>
      <c r="FN6" s="41">
        <v>1</v>
      </c>
      <c r="FO6" s="42">
        <v>0</v>
      </c>
      <c r="FP6" s="39">
        <v>0</v>
      </c>
      <c r="FQ6" s="39">
        <v>1</v>
      </c>
      <c r="FR6" s="39">
        <v>0</v>
      </c>
      <c r="FS6" s="41">
        <v>0</v>
      </c>
      <c r="FT6" s="42">
        <v>1</v>
      </c>
      <c r="FU6" s="39">
        <v>0</v>
      </c>
      <c r="FV6" s="39">
        <v>0</v>
      </c>
      <c r="FW6" s="39">
        <v>0</v>
      </c>
      <c r="FX6" s="41">
        <v>1</v>
      </c>
    </row>
    <row r="7" spans="1:190">
      <c r="A7" s="38">
        <v>0</v>
      </c>
      <c r="B7" s="39">
        <v>0</v>
      </c>
      <c r="C7" s="39">
        <v>1</v>
      </c>
      <c r="D7" s="39">
        <v>0</v>
      </c>
      <c r="E7" s="40">
        <v>0</v>
      </c>
      <c r="F7" s="38">
        <v>1</v>
      </c>
      <c r="G7" s="39">
        <v>1</v>
      </c>
      <c r="H7" s="39">
        <v>1</v>
      </c>
      <c r="I7" s="39">
        <v>1</v>
      </c>
      <c r="J7" s="40">
        <v>1</v>
      </c>
      <c r="K7" s="38">
        <v>1</v>
      </c>
      <c r="L7" s="39">
        <v>1</v>
      </c>
      <c r="M7" s="39">
        <v>1</v>
      </c>
      <c r="N7" s="39">
        <v>1</v>
      </c>
      <c r="O7" s="40">
        <v>1</v>
      </c>
      <c r="P7" s="38">
        <v>0</v>
      </c>
      <c r="Q7" s="39">
        <v>0</v>
      </c>
      <c r="R7" s="39">
        <v>0</v>
      </c>
      <c r="S7" s="39">
        <v>0</v>
      </c>
      <c r="T7" s="40">
        <v>1</v>
      </c>
      <c r="U7" s="38">
        <v>1</v>
      </c>
      <c r="V7" s="39">
        <v>1</v>
      </c>
      <c r="W7" s="39">
        <v>1</v>
      </c>
      <c r="X7" s="39">
        <v>1</v>
      </c>
      <c r="Y7" s="40">
        <v>1</v>
      </c>
      <c r="Z7" s="38">
        <v>1</v>
      </c>
      <c r="AA7" s="39">
        <v>1</v>
      </c>
      <c r="AB7" s="39">
        <v>1</v>
      </c>
      <c r="AC7" s="39">
        <v>1</v>
      </c>
      <c r="AD7" s="40">
        <v>1</v>
      </c>
      <c r="AE7" s="38">
        <v>0</v>
      </c>
      <c r="AF7" s="39">
        <v>0</v>
      </c>
      <c r="AG7" s="39">
        <v>0</v>
      </c>
      <c r="AH7" s="39">
        <v>0</v>
      </c>
      <c r="AI7" s="40">
        <v>1</v>
      </c>
      <c r="AJ7" s="38">
        <v>1</v>
      </c>
      <c r="AK7" s="39">
        <v>1</v>
      </c>
      <c r="AL7" s="39">
        <v>1</v>
      </c>
      <c r="AM7" s="39">
        <v>1</v>
      </c>
      <c r="AN7" s="40">
        <v>1</v>
      </c>
      <c r="AO7" s="38">
        <v>1</v>
      </c>
      <c r="AP7" s="39">
        <v>1</v>
      </c>
      <c r="AQ7" s="39">
        <v>1</v>
      </c>
      <c r="AR7" s="39">
        <v>1</v>
      </c>
      <c r="AS7" s="40">
        <v>1</v>
      </c>
      <c r="AT7" s="38">
        <v>1</v>
      </c>
      <c r="AU7" s="39">
        <v>1</v>
      </c>
      <c r="AV7" s="39">
        <v>1</v>
      </c>
      <c r="AW7" s="39">
        <v>1</v>
      </c>
      <c r="AX7" s="40">
        <v>1</v>
      </c>
      <c r="AY7" s="38">
        <v>1</v>
      </c>
      <c r="AZ7" s="39">
        <v>0</v>
      </c>
      <c r="BA7" s="39">
        <v>0</v>
      </c>
      <c r="BB7" s="39">
        <v>0</v>
      </c>
      <c r="BC7" s="40">
        <v>1</v>
      </c>
      <c r="BD7" s="38">
        <v>1</v>
      </c>
      <c r="BE7" s="39">
        <v>1</v>
      </c>
      <c r="BF7" s="39">
        <v>1</v>
      </c>
      <c r="BG7" s="39">
        <v>1</v>
      </c>
      <c r="BH7" s="40">
        <v>0</v>
      </c>
      <c r="BI7" s="38">
        <v>1</v>
      </c>
      <c r="BJ7" s="39">
        <v>1</v>
      </c>
      <c r="BK7" s="39">
        <v>1</v>
      </c>
      <c r="BL7" s="39">
        <v>1</v>
      </c>
      <c r="BM7" s="40">
        <v>1</v>
      </c>
      <c r="BN7" s="38">
        <v>1</v>
      </c>
      <c r="BO7" s="39">
        <v>1</v>
      </c>
      <c r="BP7" s="39">
        <v>1</v>
      </c>
      <c r="BQ7" s="39">
        <v>1</v>
      </c>
      <c r="BR7" s="40">
        <v>0</v>
      </c>
      <c r="BS7" s="38">
        <v>1</v>
      </c>
      <c r="BT7" s="39">
        <v>1</v>
      </c>
      <c r="BU7" s="39">
        <v>1</v>
      </c>
      <c r="BV7" s="39">
        <v>1</v>
      </c>
      <c r="BW7" s="40">
        <v>1</v>
      </c>
      <c r="BX7" s="38">
        <v>1</v>
      </c>
      <c r="BY7" s="39">
        <v>0</v>
      </c>
      <c r="BZ7" s="39">
        <v>0</v>
      </c>
      <c r="CA7" s="39">
        <v>0</v>
      </c>
      <c r="CB7" s="40">
        <v>0</v>
      </c>
      <c r="CC7" s="38">
        <v>1</v>
      </c>
      <c r="CD7" s="39">
        <v>1</v>
      </c>
      <c r="CE7" s="39">
        <v>1</v>
      </c>
      <c r="CF7" s="39">
        <v>1</v>
      </c>
      <c r="CG7" s="40">
        <v>1</v>
      </c>
      <c r="CH7" s="38">
        <v>1</v>
      </c>
      <c r="CI7" s="39">
        <v>0</v>
      </c>
      <c r="CJ7" s="39">
        <v>0</v>
      </c>
      <c r="CK7" s="39">
        <v>0</v>
      </c>
      <c r="CL7" s="40">
        <v>1</v>
      </c>
      <c r="CM7" s="38">
        <v>1</v>
      </c>
      <c r="CN7" s="39">
        <v>1</v>
      </c>
      <c r="CO7" s="39">
        <v>1</v>
      </c>
      <c r="CP7" s="39">
        <v>1</v>
      </c>
      <c r="CQ7" s="40">
        <v>1</v>
      </c>
      <c r="CR7" s="38">
        <v>0</v>
      </c>
      <c r="CS7" s="39">
        <v>1</v>
      </c>
      <c r="CT7" s="39">
        <v>1</v>
      </c>
      <c r="CU7" s="39">
        <v>0</v>
      </c>
      <c r="CV7" s="40">
        <v>0</v>
      </c>
      <c r="CW7" s="38">
        <v>1</v>
      </c>
      <c r="CX7" s="39">
        <v>0</v>
      </c>
      <c r="CY7" s="39">
        <v>0</v>
      </c>
      <c r="CZ7" s="39">
        <v>0</v>
      </c>
      <c r="DA7" s="40">
        <v>1</v>
      </c>
      <c r="DB7" s="38">
        <v>1</v>
      </c>
      <c r="DC7" s="39">
        <v>1</v>
      </c>
      <c r="DD7" s="39">
        <v>1</v>
      </c>
      <c r="DE7" s="39">
        <v>1</v>
      </c>
      <c r="DF7" s="40">
        <v>1</v>
      </c>
      <c r="DG7" s="38">
        <v>1</v>
      </c>
      <c r="DH7" s="39">
        <v>0</v>
      </c>
      <c r="DI7" s="39">
        <v>0</v>
      </c>
      <c r="DJ7" s="39">
        <v>0</v>
      </c>
      <c r="DK7" s="40">
        <v>1</v>
      </c>
      <c r="DL7" s="38">
        <v>1</v>
      </c>
      <c r="DM7" s="39">
        <v>0</v>
      </c>
      <c r="DN7" s="39">
        <v>0</v>
      </c>
      <c r="DO7" s="39">
        <v>1</v>
      </c>
      <c r="DP7" s="40">
        <v>1</v>
      </c>
      <c r="DQ7" s="38">
        <v>0</v>
      </c>
      <c r="DR7" s="39">
        <v>1</v>
      </c>
      <c r="DS7" s="39">
        <v>1</v>
      </c>
      <c r="DT7" s="39">
        <v>1</v>
      </c>
      <c r="DU7" s="40">
        <v>0</v>
      </c>
      <c r="DV7" s="38">
        <v>1</v>
      </c>
      <c r="DW7" s="39">
        <v>1</v>
      </c>
      <c r="DX7" s="39">
        <v>1</v>
      </c>
      <c r="DY7" s="39">
        <v>0</v>
      </c>
      <c r="DZ7" s="39">
        <v>0</v>
      </c>
      <c r="EA7" s="38">
        <v>0</v>
      </c>
      <c r="EB7" s="39">
        <v>0</v>
      </c>
      <c r="EC7" s="39">
        <v>1</v>
      </c>
      <c r="ED7" s="39">
        <v>1</v>
      </c>
      <c r="EE7" s="40">
        <v>1</v>
      </c>
      <c r="EF7" s="39">
        <v>1</v>
      </c>
      <c r="EG7" s="39">
        <v>1</v>
      </c>
      <c r="EH7" s="39">
        <v>1</v>
      </c>
      <c r="EI7" s="39">
        <v>0</v>
      </c>
      <c r="EJ7" s="39">
        <v>1</v>
      </c>
      <c r="EK7" s="38">
        <v>1</v>
      </c>
      <c r="EL7" s="39">
        <v>1</v>
      </c>
      <c r="EM7" s="39">
        <v>1</v>
      </c>
      <c r="EN7" s="39">
        <v>1</v>
      </c>
      <c r="EO7" s="40">
        <v>1</v>
      </c>
      <c r="EP7" s="39">
        <v>0</v>
      </c>
      <c r="EQ7" s="39">
        <v>0</v>
      </c>
      <c r="ER7" s="39">
        <v>1</v>
      </c>
      <c r="ES7" s="39">
        <v>0</v>
      </c>
      <c r="ET7" s="41">
        <v>0</v>
      </c>
      <c r="EU7" s="42">
        <v>1</v>
      </c>
      <c r="EV7" s="39">
        <v>1</v>
      </c>
      <c r="EW7" s="39">
        <v>1</v>
      </c>
      <c r="EX7" s="39">
        <v>1</v>
      </c>
      <c r="EY7" s="41">
        <v>1</v>
      </c>
      <c r="EZ7" s="42">
        <v>0</v>
      </c>
      <c r="FA7" s="39">
        <v>0</v>
      </c>
      <c r="FB7" s="39">
        <v>1</v>
      </c>
      <c r="FC7" s="39">
        <v>0</v>
      </c>
      <c r="FD7" s="41">
        <v>0</v>
      </c>
      <c r="FE7" s="42">
        <v>0</v>
      </c>
      <c r="FF7" s="39">
        <v>1</v>
      </c>
      <c r="FG7" s="39">
        <v>0</v>
      </c>
      <c r="FH7" s="39">
        <v>1</v>
      </c>
      <c r="FI7" s="41">
        <v>0</v>
      </c>
      <c r="FJ7" s="42">
        <v>1</v>
      </c>
      <c r="FK7" s="39">
        <v>0</v>
      </c>
      <c r="FL7" s="39">
        <v>0</v>
      </c>
      <c r="FM7" s="39">
        <v>0</v>
      </c>
      <c r="FN7" s="41">
        <v>1</v>
      </c>
      <c r="FO7" s="42">
        <v>0</v>
      </c>
      <c r="FP7" s="39">
        <v>1</v>
      </c>
      <c r="FQ7" s="39">
        <v>1</v>
      </c>
      <c r="FR7" s="39">
        <v>1</v>
      </c>
      <c r="FS7" s="41">
        <v>0</v>
      </c>
      <c r="FT7" s="42">
        <v>1</v>
      </c>
      <c r="FU7" s="39">
        <v>1</v>
      </c>
      <c r="FV7" s="39">
        <v>1</v>
      </c>
      <c r="FW7" s="39">
        <v>1</v>
      </c>
      <c r="FX7" s="41">
        <v>1</v>
      </c>
    </row>
    <row r="8" spans="1:190" ht="15.75" thickBot="1">
      <c r="A8" s="43">
        <v>0</v>
      </c>
      <c r="B8" s="44">
        <v>0</v>
      </c>
      <c r="C8" s="44">
        <v>0</v>
      </c>
      <c r="D8" s="44">
        <v>0</v>
      </c>
      <c r="E8" s="45">
        <v>0</v>
      </c>
      <c r="F8" s="43">
        <v>0</v>
      </c>
      <c r="G8" s="44">
        <v>0</v>
      </c>
      <c r="H8" s="44">
        <v>0</v>
      </c>
      <c r="I8" s="44">
        <v>0</v>
      </c>
      <c r="J8" s="45">
        <v>0</v>
      </c>
      <c r="K8" s="43">
        <v>0</v>
      </c>
      <c r="L8" s="44">
        <v>0</v>
      </c>
      <c r="M8" s="44">
        <v>0</v>
      </c>
      <c r="N8" s="44">
        <v>0</v>
      </c>
      <c r="O8" s="45">
        <v>0</v>
      </c>
      <c r="P8" s="43">
        <v>0</v>
      </c>
      <c r="Q8" s="44">
        <v>0</v>
      </c>
      <c r="R8" s="44">
        <v>0</v>
      </c>
      <c r="S8" s="44">
        <v>0</v>
      </c>
      <c r="T8" s="45">
        <v>0</v>
      </c>
      <c r="U8" s="43">
        <v>0</v>
      </c>
      <c r="V8" s="44">
        <v>0</v>
      </c>
      <c r="W8" s="44">
        <v>0</v>
      </c>
      <c r="X8" s="44">
        <v>0</v>
      </c>
      <c r="Y8" s="45">
        <v>0</v>
      </c>
      <c r="Z8" s="43">
        <v>0</v>
      </c>
      <c r="AA8" s="44">
        <v>0</v>
      </c>
      <c r="AB8" s="44">
        <v>0</v>
      </c>
      <c r="AC8" s="44">
        <v>0</v>
      </c>
      <c r="AD8" s="45">
        <v>0</v>
      </c>
      <c r="AE8" s="43">
        <v>0</v>
      </c>
      <c r="AF8" s="44">
        <v>0</v>
      </c>
      <c r="AG8" s="44">
        <v>0</v>
      </c>
      <c r="AH8" s="44">
        <v>0</v>
      </c>
      <c r="AI8" s="45">
        <v>0</v>
      </c>
      <c r="AJ8" s="43">
        <v>0</v>
      </c>
      <c r="AK8" s="44">
        <v>0</v>
      </c>
      <c r="AL8" s="44">
        <v>0</v>
      </c>
      <c r="AM8" s="44">
        <v>0</v>
      </c>
      <c r="AN8" s="45">
        <v>0</v>
      </c>
      <c r="AO8" s="43">
        <v>0</v>
      </c>
      <c r="AP8" s="44">
        <v>0</v>
      </c>
      <c r="AQ8" s="44">
        <v>0</v>
      </c>
      <c r="AR8" s="44">
        <v>0</v>
      </c>
      <c r="AS8" s="45">
        <v>0</v>
      </c>
      <c r="AT8" s="43">
        <v>0</v>
      </c>
      <c r="AU8" s="44">
        <v>0</v>
      </c>
      <c r="AV8" s="44">
        <v>0</v>
      </c>
      <c r="AW8" s="44">
        <v>0</v>
      </c>
      <c r="AX8" s="45">
        <v>0</v>
      </c>
      <c r="AY8" s="43">
        <v>0</v>
      </c>
      <c r="AZ8" s="44">
        <v>0</v>
      </c>
      <c r="BA8" s="44">
        <v>0</v>
      </c>
      <c r="BB8" s="44">
        <v>0</v>
      </c>
      <c r="BC8" s="45">
        <v>0</v>
      </c>
      <c r="BD8" s="43">
        <v>0</v>
      </c>
      <c r="BE8" s="44">
        <v>0</v>
      </c>
      <c r="BF8" s="44">
        <v>0</v>
      </c>
      <c r="BG8" s="44">
        <v>0</v>
      </c>
      <c r="BH8" s="45">
        <v>0</v>
      </c>
      <c r="BI8" s="43">
        <v>0</v>
      </c>
      <c r="BJ8" s="44">
        <v>0</v>
      </c>
      <c r="BK8" s="44">
        <v>0</v>
      </c>
      <c r="BL8" s="44">
        <v>0</v>
      </c>
      <c r="BM8" s="45">
        <v>0</v>
      </c>
      <c r="BN8" s="43">
        <v>0</v>
      </c>
      <c r="BO8" s="44">
        <v>0</v>
      </c>
      <c r="BP8" s="44">
        <v>0</v>
      </c>
      <c r="BQ8" s="44">
        <v>0</v>
      </c>
      <c r="BR8" s="45">
        <v>0</v>
      </c>
      <c r="BS8" s="43">
        <v>0</v>
      </c>
      <c r="BT8" s="44">
        <v>0</v>
      </c>
      <c r="BU8" s="44">
        <v>0</v>
      </c>
      <c r="BV8" s="44">
        <v>0</v>
      </c>
      <c r="BW8" s="45">
        <v>0</v>
      </c>
      <c r="BX8" s="43">
        <v>0</v>
      </c>
      <c r="BY8" s="44">
        <v>0</v>
      </c>
      <c r="BZ8" s="44">
        <v>0</v>
      </c>
      <c r="CA8" s="44">
        <v>0</v>
      </c>
      <c r="CB8" s="45">
        <v>0</v>
      </c>
      <c r="CC8" s="43">
        <v>0</v>
      </c>
      <c r="CD8" s="44">
        <v>0</v>
      </c>
      <c r="CE8" s="44">
        <v>0</v>
      </c>
      <c r="CF8" s="44">
        <v>0</v>
      </c>
      <c r="CG8" s="45">
        <v>0</v>
      </c>
      <c r="CH8" s="43">
        <v>0</v>
      </c>
      <c r="CI8" s="44">
        <v>0</v>
      </c>
      <c r="CJ8" s="44">
        <v>0</v>
      </c>
      <c r="CK8" s="44">
        <v>0</v>
      </c>
      <c r="CL8" s="45">
        <v>0</v>
      </c>
      <c r="CM8" s="43">
        <v>0</v>
      </c>
      <c r="CN8" s="44">
        <v>0</v>
      </c>
      <c r="CO8" s="44">
        <v>0</v>
      </c>
      <c r="CP8" s="44">
        <v>0</v>
      </c>
      <c r="CQ8" s="45">
        <v>0</v>
      </c>
      <c r="CR8" s="43">
        <v>0</v>
      </c>
      <c r="CS8" s="44">
        <v>0</v>
      </c>
      <c r="CT8" s="44">
        <v>0</v>
      </c>
      <c r="CU8" s="44">
        <v>0</v>
      </c>
      <c r="CV8" s="45">
        <v>0</v>
      </c>
      <c r="CW8" s="43">
        <v>0</v>
      </c>
      <c r="CX8" s="44">
        <v>0</v>
      </c>
      <c r="CY8" s="44">
        <v>0</v>
      </c>
      <c r="CZ8" s="44">
        <v>0</v>
      </c>
      <c r="DA8" s="45">
        <v>0</v>
      </c>
      <c r="DB8" s="43">
        <v>0</v>
      </c>
      <c r="DC8" s="44">
        <v>0</v>
      </c>
      <c r="DD8" s="44">
        <v>0</v>
      </c>
      <c r="DE8" s="44">
        <v>0</v>
      </c>
      <c r="DF8" s="45">
        <v>0</v>
      </c>
      <c r="DG8" s="43">
        <v>0</v>
      </c>
      <c r="DH8" s="44">
        <v>0</v>
      </c>
      <c r="DI8" s="44">
        <v>0</v>
      </c>
      <c r="DJ8" s="44">
        <v>0</v>
      </c>
      <c r="DK8" s="45">
        <v>0</v>
      </c>
      <c r="DL8" s="43">
        <v>0</v>
      </c>
      <c r="DM8" s="44">
        <v>0</v>
      </c>
      <c r="DN8" s="44">
        <v>0</v>
      </c>
      <c r="DO8" s="44">
        <v>0</v>
      </c>
      <c r="DP8" s="45">
        <v>0</v>
      </c>
      <c r="DQ8" s="43">
        <v>0</v>
      </c>
      <c r="DR8" s="44">
        <v>0</v>
      </c>
      <c r="DS8" s="44">
        <v>0</v>
      </c>
      <c r="DT8" s="44">
        <v>0</v>
      </c>
      <c r="DU8" s="45">
        <v>0</v>
      </c>
      <c r="DV8" s="43">
        <v>0</v>
      </c>
      <c r="DW8" s="44">
        <v>0</v>
      </c>
      <c r="DX8" s="44">
        <v>0</v>
      </c>
      <c r="DY8" s="44">
        <v>0</v>
      </c>
      <c r="DZ8" s="45">
        <v>0</v>
      </c>
      <c r="EA8" s="43">
        <v>0</v>
      </c>
      <c r="EB8" s="44">
        <v>0</v>
      </c>
      <c r="EC8" s="44">
        <v>0</v>
      </c>
      <c r="ED8" s="44">
        <v>0</v>
      </c>
      <c r="EE8" s="45">
        <v>0</v>
      </c>
      <c r="EF8" s="43">
        <v>0</v>
      </c>
      <c r="EG8" s="44">
        <v>0</v>
      </c>
      <c r="EH8" s="44">
        <v>0</v>
      </c>
      <c r="EI8" s="44">
        <v>0</v>
      </c>
      <c r="EJ8" s="45">
        <v>0</v>
      </c>
      <c r="EK8" s="43">
        <v>0</v>
      </c>
      <c r="EL8" s="44">
        <v>0</v>
      </c>
      <c r="EM8" s="44">
        <v>0</v>
      </c>
      <c r="EN8" s="44">
        <v>0</v>
      </c>
      <c r="EO8" s="45">
        <v>0</v>
      </c>
      <c r="EP8" s="43">
        <v>0</v>
      </c>
      <c r="EQ8" s="44">
        <v>0</v>
      </c>
      <c r="ER8" s="44">
        <v>0</v>
      </c>
      <c r="ES8" s="44">
        <v>0</v>
      </c>
      <c r="ET8" s="45">
        <v>0</v>
      </c>
      <c r="EU8" s="43">
        <v>0</v>
      </c>
      <c r="EV8" s="44">
        <v>0</v>
      </c>
      <c r="EW8" s="44">
        <v>0</v>
      </c>
      <c r="EX8" s="44">
        <v>0</v>
      </c>
      <c r="EY8" s="45">
        <v>0</v>
      </c>
      <c r="EZ8" s="43">
        <v>0</v>
      </c>
      <c r="FA8" s="44">
        <v>0</v>
      </c>
      <c r="FB8" s="44">
        <v>0</v>
      </c>
      <c r="FC8" s="44">
        <v>0</v>
      </c>
      <c r="FD8" s="45">
        <v>0</v>
      </c>
      <c r="FE8" s="43">
        <v>0</v>
      </c>
      <c r="FF8" s="44">
        <v>0</v>
      </c>
      <c r="FG8" s="44">
        <v>0</v>
      </c>
      <c r="FH8" s="44">
        <v>0</v>
      </c>
      <c r="FI8" s="45">
        <v>0</v>
      </c>
      <c r="FJ8" s="43">
        <v>0</v>
      </c>
      <c r="FK8" s="44">
        <v>0</v>
      </c>
      <c r="FL8" s="44">
        <v>0</v>
      </c>
      <c r="FM8" s="44">
        <v>0</v>
      </c>
      <c r="FN8" s="45">
        <v>0</v>
      </c>
      <c r="FO8" s="43">
        <v>0</v>
      </c>
      <c r="FP8" s="44">
        <v>0</v>
      </c>
      <c r="FQ8" s="44">
        <v>0</v>
      </c>
      <c r="FR8" s="44">
        <v>0</v>
      </c>
      <c r="FS8" s="45">
        <v>0</v>
      </c>
      <c r="FT8" s="43">
        <v>0</v>
      </c>
      <c r="FU8" s="44">
        <v>0</v>
      </c>
      <c r="FV8" s="44">
        <v>0</v>
      </c>
      <c r="FW8" s="44">
        <v>0</v>
      </c>
      <c r="FX8" s="45">
        <v>0</v>
      </c>
    </row>
    <row r="9" spans="1:190" s="47" customFormat="1" ht="15.75" thickBot="1">
      <c r="A9" s="46" t="str">
        <f>CONCATENATE(A1,A2,A3,A4,A5,A6,A7,A8)</f>
        <v>00000000</v>
      </c>
      <c r="B9" s="46" t="str">
        <f t="shared" ref="B9:BM9" si="0">CONCATENATE(B1,B2,B3,B4,B5,B6,B7,B8)</f>
        <v>00000000</v>
      </c>
      <c r="C9" s="46" t="str">
        <f t="shared" si="0"/>
        <v>11111110</v>
      </c>
      <c r="D9" s="46" t="str">
        <f t="shared" si="0"/>
        <v>00000000</v>
      </c>
      <c r="E9" s="46" t="str">
        <f t="shared" si="0"/>
        <v>00000000</v>
      </c>
      <c r="F9" s="46" t="str">
        <f t="shared" si="0"/>
        <v>10011110</v>
      </c>
      <c r="G9" s="46" t="str">
        <f t="shared" si="0"/>
        <v>10010010</v>
      </c>
      <c r="H9" s="46" t="str">
        <f t="shared" si="0"/>
        <v>10010010</v>
      </c>
      <c r="I9" s="46" t="str">
        <f t="shared" si="0"/>
        <v>10010010</v>
      </c>
      <c r="J9" s="46" t="str">
        <f t="shared" si="0"/>
        <v>11110010</v>
      </c>
      <c r="K9" s="46" t="str">
        <f t="shared" si="0"/>
        <v>10000010</v>
      </c>
      <c r="L9" s="46" t="str">
        <f t="shared" si="0"/>
        <v>10010010</v>
      </c>
      <c r="M9" s="46" t="str">
        <f t="shared" si="0"/>
        <v>10010010</v>
      </c>
      <c r="N9" s="46" t="str">
        <f t="shared" si="0"/>
        <v>10010010</v>
      </c>
      <c r="O9" s="46" t="str">
        <f t="shared" si="0"/>
        <v>11111110</v>
      </c>
      <c r="P9" s="46" t="str">
        <f t="shared" si="0"/>
        <v>11110000</v>
      </c>
      <c r="Q9" s="46" t="str">
        <f t="shared" si="0"/>
        <v>00010000</v>
      </c>
      <c r="R9" s="46" t="str">
        <f t="shared" si="0"/>
        <v>00010000</v>
      </c>
      <c r="S9" s="46" t="str">
        <f t="shared" si="0"/>
        <v>00010000</v>
      </c>
      <c r="T9" s="46" t="str">
        <f t="shared" si="0"/>
        <v>11111110</v>
      </c>
      <c r="U9" s="46" t="str">
        <f t="shared" si="0"/>
        <v>11110010</v>
      </c>
      <c r="V9" s="46" t="str">
        <f t="shared" si="0"/>
        <v>10010010</v>
      </c>
      <c r="W9" s="46" t="str">
        <f t="shared" si="0"/>
        <v>10010010</v>
      </c>
      <c r="X9" s="46" t="str">
        <f t="shared" si="0"/>
        <v>10010010</v>
      </c>
      <c r="Y9" s="46" t="str">
        <f t="shared" si="0"/>
        <v>10011110</v>
      </c>
      <c r="Z9" s="46" t="str">
        <f t="shared" si="0"/>
        <v>11111110</v>
      </c>
      <c r="AA9" s="46" t="str">
        <f t="shared" si="0"/>
        <v>10010010</v>
      </c>
      <c r="AB9" s="46" t="str">
        <f t="shared" si="0"/>
        <v>10010010</v>
      </c>
      <c r="AC9" s="46" t="str">
        <f t="shared" si="0"/>
        <v>10010010</v>
      </c>
      <c r="AD9" s="46" t="str">
        <f t="shared" si="0"/>
        <v>10011110</v>
      </c>
      <c r="AE9" s="46" t="str">
        <f t="shared" si="0"/>
        <v>10000000</v>
      </c>
      <c r="AF9" s="46" t="str">
        <f t="shared" si="0"/>
        <v>10000000</v>
      </c>
      <c r="AG9" s="46" t="str">
        <f t="shared" si="0"/>
        <v>10000000</v>
      </c>
      <c r="AH9" s="46" t="str">
        <f t="shared" si="0"/>
        <v>10000000</v>
      </c>
      <c r="AI9" s="46" t="str">
        <f t="shared" si="0"/>
        <v>11111110</v>
      </c>
      <c r="AJ9" s="46" t="str">
        <f t="shared" si="0"/>
        <v>11111110</v>
      </c>
      <c r="AK9" s="46" t="str">
        <f t="shared" si="0"/>
        <v>10010010</v>
      </c>
      <c r="AL9" s="46" t="str">
        <f t="shared" si="0"/>
        <v>10010010</v>
      </c>
      <c r="AM9" s="46" t="str">
        <f t="shared" si="0"/>
        <v>10010010</v>
      </c>
      <c r="AN9" s="46" t="str">
        <f t="shared" si="0"/>
        <v>11111110</v>
      </c>
      <c r="AO9" s="46" t="str">
        <f t="shared" si="0"/>
        <v>11110010</v>
      </c>
      <c r="AP9" s="46" t="str">
        <f t="shared" si="0"/>
        <v>10010010</v>
      </c>
      <c r="AQ9" s="46" t="str">
        <f t="shared" si="0"/>
        <v>10010010</v>
      </c>
      <c r="AR9" s="46" t="str">
        <f t="shared" si="0"/>
        <v>10010010</v>
      </c>
      <c r="AS9" s="46" t="str">
        <f t="shared" si="0"/>
        <v>11111110</v>
      </c>
      <c r="AT9" s="46" t="str">
        <f t="shared" si="0"/>
        <v>11111110</v>
      </c>
      <c r="AU9" s="46" t="str">
        <f t="shared" si="0"/>
        <v>10000010</v>
      </c>
      <c r="AV9" s="46" t="str">
        <f t="shared" si="0"/>
        <v>10000010</v>
      </c>
      <c r="AW9" s="46" t="str">
        <f t="shared" si="0"/>
        <v>10000010</v>
      </c>
      <c r="AX9" s="46" t="str">
        <f t="shared" si="0"/>
        <v>11111110</v>
      </c>
      <c r="AY9" s="46" t="str">
        <f t="shared" si="0"/>
        <v>11111110</v>
      </c>
      <c r="AZ9" s="46" t="str">
        <f t="shared" si="0"/>
        <v>10001000</v>
      </c>
      <c r="BA9" s="46" t="str">
        <f t="shared" si="0"/>
        <v>10001000</v>
      </c>
      <c r="BB9" s="46" t="str">
        <f t="shared" si="0"/>
        <v>10001000</v>
      </c>
      <c r="BC9" s="46" t="str">
        <f t="shared" si="0"/>
        <v>11111110</v>
      </c>
      <c r="BD9" s="46" t="str">
        <f t="shared" si="0"/>
        <v>11111110</v>
      </c>
      <c r="BE9" s="46" t="str">
        <f t="shared" si="0"/>
        <v>10010010</v>
      </c>
      <c r="BF9" s="46" t="str">
        <f t="shared" si="0"/>
        <v>10010010</v>
      </c>
      <c r="BG9" s="46" t="str">
        <f t="shared" si="0"/>
        <v>10010010</v>
      </c>
      <c r="BH9" s="46" t="str">
        <f t="shared" si="0"/>
        <v>01101100</v>
      </c>
      <c r="BI9" s="46" t="str">
        <f t="shared" si="0"/>
        <v>11111110</v>
      </c>
      <c r="BJ9" s="46" t="str">
        <f t="shared" si="0"/>
        <v>10000010</v>
      </c>
      <c r="BK9" s="46" t="str">
        <f t="shared" si="0"/>
        <v>10000010</v>
      </c>
      <c r="BL9" s="46" t="str">
        <f t="shared" si="0"/>
        <v>10000010</v>
      </c>
      <c r="BM9" s="46" t="str">
        <f t="shared" si="0"/>
        <v>10000010</v>
      </c>
      <c r="BN9" s="46" t="str">
        <f t="shared" ref="BN9:DY9" si="1">CONCATENATE(BN1,BN2,BN3,BN4,BN5,BN6,BN7,BN8)</f>
        <v>11111110</v>
      </c>
      <c r="BO9" s="46" t="str">
        <f t="shared" si="1"/>
        <v>10000010</v>
      </c>
      <c r="BP9" s="46" t="str">
        <f t="shared" si="1"/>
        <v>10000010</v>
      </c>
      <c r="BQ9" s="46" t="str">
        <f t="shared" si="1"/>
        <v>10000010</v>
      </c>
      <c r="BR9" s="46" t="str">
        <f t="shared" si="1"/>
        <v>01111100</v>
      </c>
      <c r="BS9" s="46" t="str">
        <f t="shared" si="1"/>
        <v>11111110</v>
      </c>
      <c r="BT9" s="46" t="str">
        <f t="shared" si="1"/>
        <v>10010010</v>
      </c>
      <c r="BU9" s="46" t="str">
        <f t="shared" si="1"/>
        <v>10010010</v>
      </c>
      <c r="BV9" s="46" t="str">
        <f t="shared" si="1"/>
        <v>10000010</v>
      </c>
      <c r="BW9" s="46" t="str">
        <f t="shared" si="1"/>
        <v>10000010</v>
      </c>
      <c r="BX9" s="46" t="str">
        <f t="shared" si="1"/>
        <v>11111110</v>
      </c>
      <c r="BY9" s="46" t="str">
        <f t="shared" si="1"/>
        <v>10010000</v>
      </c>
      <c r="BZ9" s="46" t="str">
        <f t="shared" si="1"/>
        <v>10010000</v>
      </c>
      <c r="CA9" s="46" t="str">
        <f t="shared" si="1"/>
        <v>10000000</v>
      </c>
      <c r="CB9" s="46" t="str">
        <f t="shared" si="1"/>
        <v>10000000</v>
      </c>
      <c r="CC9" s="46" t="str">
        <f t="shared" si="1"/>
        <v>11111110</v>
      </c>
      <c r="CD9" s="46" t="str">
        <f t="shared" si="1"/>
        <v>10000010</v>
      </c>
      <c r="CE9" s="46" t="str">
        <f t="shared" si="1"/>
        <v>10000010</v>
      </c>
      <c r="CF9" s="46" t="str">
        <f t="shared" si="1"/>
        <v>10010010</v>
      </c>
      <c r="CG9" s="46" t="str">
        <f t="shared" si="1"/>
        <v>10011110</v>
      </c>
      <c r="CH9" s="46" t="str">
        <f t="shared" si="1"/>
        <v>11111110</v>
      </c>
      <c r="CI9" s="46" t="str">
        <f t="shared" si="1"/>
        <v>00010000</v>
      </c>
      <c r="CJ9" s="46" t="str">
        <f t="shared" si="1"/>
        <v>00010000</v>
      </c>
      <c r="CK9" s="46" t="str">
        <f t="shared" si="1"/>
        <v>00010000</v>
      </c>
      <c r="CL9" s="46" t="str">
        <f t="shared" si="1"/>
        <v>11111110</v>
      </c>
      <c r="CM9" s="46" t="str">
        <f t="shared" si="1"/>
        <v>10000010</v>
      </c>
      <c r="CN9" s="46" t="str">
        <f t="shared" si="1"/>
        <v>10000010</v>
      </c>
      <c r="CO9" s="46" t="str">
        <f t="shared" si="1"/>
        <v>11111110</v>
      </c>
      <c r="CP9" s="46" t="str">
        <f t="shared" si="1"/>
        <v>10000010</v>
      </c>
      <c r="CQ9" s="46" t="str">
        <f t="shared" si="1"/>
        <v>10000010</v>
      </c>
      <c r="CR9" s="46" t="str">
        <f t="shared" si="1"/>
        <v>00000100</v>
      </c>
      <c r="CS9" s="46" t="str">
        <f t="shared" si="1"/>
        <v>00000010</v>
      </c>
      <c r="CT9" s="46" t="str">
        <f t="shared" si="1"/>
        <v>10000010</v>
      </c>
      <c r="CU9" s="46" t="str">
        <f t="shared" si="1"/>
        <v>11111100</v>
      </c>
      <c r="CV9" s="46" t="str">
        <f t="shared" si="1"/>
        <v>10000000</v>
      </c>
      <c r="CW9" s="46" t="str">
        <f t="shared" si="1"/>
        <v>11111110</v>
      </c>
      <c r="CX9" s="46" t="str">
        <f t="shared" si="1"/>
        <v>00010000</v>
      </c>
      <c r="CY9" s="46" t="str">
        <f t="shared" si="1"/>
        <v>00101000</v>
      </c>
      <c r="CZ9" s="46" t="str">
        <f t="shared" si="1"/>
        <v>01000100</v>
      </c>
      <c r="DA9" s="46" t="str">
        <f t="shared" si="1"/>
        <v>10000010</v>
      </c>
      <c r="DB9" s="46" t="str">
        <f t="shared" si="1"/>
        <v>10000010</v>
      </c>
      <c r="DC9" s="46" t="str">
        <f t="shared" si="1"/>
        <v>11111110</v>
      </c>
      <c r="DD9" s="46" t="str">
        <f t="shared" si="1"/>
        <v>10000010</v>
      </c>
      <c r="DE9" s="46" t="str">
        <f t="shared" si="1"/>
        <v>00000010</v>
      </c>
      <c r="DF9" s="46" t="str">
        <f t="shared" si="1"/>
        <v>00000110</v>
      </c>
      <c r="DG9" s="46" t="str">
        <f t="shared" si="1"/>
        <v>11111110</v>
      </c>
      <c r="DH9" s="46" t="str">
        <f t="shared" si="1"/>
        <v>11000000</v>
      </c>
      <c r="DI9" s="46" t="str">
        <f t="shared" si="1"/>
        <v>00110000</v>
      </c>
      <c r="DJ9" s="46" t="str">
        <f t="shared" si="1"/>
        <v>11000000</v>
      </c>
      <c r="DK9" s="46" t="str">
        <f t="shared" si="1"/>
        <v>11111110</v>
      </c>
      <c r="DL9" s="46" t="str">
        <f t="shared" si="1"/>
        <v>11111110</v>
      </c>
      <c r="DM9" s="46" t="str">
        <f t="shared" si="1"/>
        <v>11000000</v>
      </c>
      <c r="DN9" s="46" t="str">
        <f t="shared" si="1"/>
        <v>00111000</v>
      </c>
      <c r="DO9" s="46" t="str">
        <f t="shared" si="1"/>
        <v>00000110</v>
      </c>
      <c r="DP9" s="46" t="str">
        <f t="shared" si="1"/>
        <v>11111110</v>
      </c>
      <c r="DQ9" s="46" t="str">
        <f t="shared" si="1"/>
        <v>01111100</v>
      </c>
      <c r="DR9" s="46" t="str">
        <f t="shared" si="1"/>
        <v>10000010</v>
      </c>
      <c r="DS9" s="46" t="str">
        <f t="shared" si="1"/>
        <v>10000010</v>
      </c>
      <c r="DT9" s="46" t="str">
        <f t="shared" si="1"/>
        <v>10000010</v>
      </c>
      <c r="DU9" s="46" t="str">
        <f t="shared" si="1"/>
        <v>01111100</v>
      </c>
      <c r="DV9" s="46" t="str">
        <f t="shared" si="1"/>
        <v>10000010</v>
      </c>
      <c r="DW9" s="46" t="str">
        <f t="shared" si="1"/>
        <v>11111110</v>
      </c>
      <c r="DX9" s="46" t="str">
        <f t="shared" si="1"/>
        <v>10001010</v>
      </c>
      <c r="DY9" s="46" t="str">
        <f t="shared" si="1"/>
        <v>10001000</v>
      </c>
      <c r="DZ9" s="46" t="str">
        <f t="shared" ref="DZ9:FX9" si="2">CONCATENATE(DZ1,DZ2,DZ3,DZ4,DZ5,DZ6,DZ7,DZ8)</f>
        <v>01110000</v>
      </c>
      <c r="EA9" s="46" t="str">
        <f t="shared" si="2"/>
        <v>11111000</v>
      </c>
      <c r="EB9" s="46" t="str">
        <f t="shared" si="2"/>
        <v>10001000</v>
      </c>
      <c r="EC9" s="46" t="str">
        <f t="shared" si="2"/>
        <v>10011110</v>
      </c>
      <c r="ED9" s="46" t="str">
        <f t="shared" si="2"/>
        <v>10001010</v>
      </c>
      <c r="EE9" s="46" t="str">
        <f t="shared" si="2"/>
        <v>11111010</v>
      </c>
      <c r="EF9" s="46" t="str">
        <f t="shared" si="2"/>
        <v>00000010</v>
      </c>
      <c r="EG9" s="46" t="str">
        <f t="shared" si="2"/>
        <v>11111110</v>
      </c>
      <c r="EH9" s="46" t="str">
        <f t="shared" si="2"/>
        <v>10011010</v>
      </c>
      <c r="EI9" s="46" t="str">
        <f t="shared" si="2"/>
        <v>10010100</v>
      </c>
      <c r="EJ9" s="46" t="str">
        <f t="shared" si="2"/>
        <v>01110010</v>
      </c>
      <c r="EK9" s="46" t="str">
        <f t="shared" si="2"/>
        <v>11110010</v>
      </c>
      <c r="EL9" s="46" t="str">
        <f t="shared" si="2"/>
        <v>10010010</v>
      </c>
      <c r="EM9" s="46" t="str">
        <f t="shared" si="2"/>
        <v>10010010</v>
      </c>
      <c r="EN9" s="46" t="str">
        <f t="shared" si="2"/>
        <v>10010010</v>
      </c>
      <c r="EO9" s="46" t="str">
        <f t="shared" si="2"/>
        <v>10011110</v>
      </c>
      <c r="EP9" s="46" t="str">
        <f t="shared" si="2"/>
        <v>10000000</v>
      </c>
      <c r="EQ9" s="46" t="str">
        <f t="shared" si="2"/>
        <v>10000000</v>
      </c>
      <c r="ER9" s="46" t="str">
        <f t="shared" si="2"/>
        <v>11111110</v>
      </c>
      <c r="ES9" s="46" t="str">
        <f t="shared" si="2"/>
        <v>10000000</v>
      </c>
      <c r="ET9" s="46" t="str">
        <f t="shared" si="2"/>
        <v>10000000</v>
      </c>
      <c r="EU9" s="46" t="str">
        <f t="shared" si="2"/>
        <v>11111110</v>
      </c>
      <c r="EV9" s="46" t="str">
        <f t="shared" si="2"/>
        <v>00000010</v>
      </c>
      <c r="EW9" s="46" t="str">
        <f t="shared" si="2"/>
        <v>00000010</v>
      </c>
      <c r="EX9" s="46" t="str">
        <f t="shared" si="2"/>
        <v>00000010</v>
      </c>
      <c r="EY9" s="46" t="str">
        <f t="shared" si="2"/>
        <v>11111110</v>
      </c>
      <c r="EZ9" s="46" t="str">
        <f t="shared" si="2"/>
        <v>11110000</v>
      </c>
      <c r="FA9" s="46" t="str">
        <f t="shared" si="2"/>
        <v>00011000</v>
      </c>
      <c r="FB9" s="46" t="str">
        <f t="shared" si="2"/>
        <v>00000110</v>
      </c>
      <c r="FC9" s="46" t="str">
        <f t="shared" si="2"/>
        <v>00011000</v>
      </c>
      <c r="FD9" s="46" t="str">
        <f t="shared" si="2"/>
        <v>11100000</v>
      </c>
      <c r="FE9" s="46" t="str">
        <f t="shared" si="2"/>
        <v>11111100</v>
      </c>
      <c r="FF9" s="46" t="str">
        <f t="shared" si="2"/>
        <v>00000010</v>
      </c>
      <c r="FG9" s="46" t="str">
        <f t="shared" si="2"/>
        <v>00001100</v>
      </c>
      <c r="FH9" s="46" t="str">
        <f t="shared" si="2"/>
        <v>00000010</v>
      </c>
      <c r="FI9" s="46" t="str">
        <f t="shared" si="2"/>
        <v>11111100</v>
      </c>
      <c r="FJ9" s="46" t="str">
        <f t="shared" si="2"/>
        <v>11000110</v>
      </c>
      <c r="FK9" s="46" t="str">
        <f t="shared" si="2"/>
        <v>00101000</v>
      </c>
      <c r="FL9" s="46" t="str">
        <f t="shared" si="2"/>
        <v>00010000</v>
      </c>
      <c r="FM9" s="46" t="str">
        <f t="shared" si="2"/>
        <v>00101000</v>
      </c>
      <c r="FN9" s="46" t="str">
        <f t="shared" si="2"/>
        <v>11000110</v>
      </c>
      <c r="FO9" s="46" t="str">
        <f t="shared" si="2"/>
        <v>10000000</v>
      </c>
      <c r="FP9" s="46" t="str">
        <f t="shared" si="2"/>
        <v>01100010</v>
      </c>
      <c r="FQ9" s="46" t="str">
        <f t="shared" si="2"/>
        <v>00011110</v>
      </c>
      <c r="FR9" s="46" t="str">
        <f t="shared" si="2"/>
        <v>01100010</v>
      </c>
      <c r="FS9" s="46" t="str">
        <f t="shared" si="2"/>
        <v>10000000</v>
      </c>
      <c r="FT9" s="46" t="str">
        <f t="shared" si="2"/>
        <v>11001110</v>
      </c>
      <c r="FU9" s="46" t="str">
        <f t="shared" si="2"/>
        <v>10011010</v>
      </c>
      <c r="FV9" s="46" t="str">
        <f t="shared" si="2"/>
        <v>10110010</v>
      </c>
      <c r="FW9" s="46" t="str">
        <f t="shared" si="2"/>
        <v>10100010</v>
      </c>
      <c r="FX9" s="46" t="str">
        <f t="shared" si="2"/>
        <v>11100110</v>
      </c>
    </row>
    <row r="10" spans="1:190" ht="16.5" thickTop="1" thickBot="1">
      <c r="A10" s="48">
        <f>BIN2DEC(A9)</f>
        <v>0</v>
      </c>
      <c r="B10" s="49">
        <f t="shared" ref="B10:BM10" si="3">BIN2DEC(B9)</f>
        <v>0</v>
      </c>
      <c r="C10" s="49">
        <f t="shared" si="3"/>
        <v>254</v>
      </c>
      <c r="D10" s="49">
        <f t="shared" si="3"/>
        <v>0</v>
      </c>
      <c r="E10" s="50">
        <f t="shared" si="3"/>
        <v>0</v>
      </c>
      <c r="F10" s="48">
        <f t="shared" si="3"/>
        <v>158</v>
      </c>
      <c r="G10" s="49">
        <f t="shared" si="3"/>
        <v>146</v>
      </c>
      <c r="H10" s="49">
        <f t="shared" si="3"/>
        <v>146</v>
      </c>
      <c r="I10" s="49">
        <f t="shared" si="3"/>
        <v>146</v>
      </c>
      <c r="J10" s="50">
        <f t="shared" si="3"/>
        <v>242</v>
      </c>
      <c r="K10" s="48">
        <f t="shared" si="3"/>
        <v>130</v>
      </c>
      <c r="L10" s="49">
        <f t="shared" si="3"/>
        <v>146</v>
      </c>
      <c r="M10" s="49">
        <f t="shared" si="3"/>
        <v>146</v>
      </c>
      <c r="N10" s="49">
        <f t="shared" si="3"/>
        <v>146</v>
      </c>
      <c r="O10" s="50">
        <f t="shared" si="3"/>
        <v>254</v>
      </c>
      <c r="P10" s="48">
        <f t="shared" si="3"/>
        <v>240</v>
      </c>
      <c r="Q10" s="49">
        <f t="shared" si="3"/>
        <v>16</v>
      </c>
      <c r="R10" s="49">
        <f t="shared" si="3"/>
        <v>16</v>
      </c>
      <c r="S10" s="49">
        <f t="shared" si="3"/>
        <v>16</v>
      </c>
      <c r="T10" s="50">
        <f t="shared" si="3"/>
        <v>254</v>
      </c>
      <c r="U10" s="48">
        <f t="shared" si="3"/>
        <v>242</v>
      </c>
      <c r="V10" s="49">
        <f t="shared" si="3"/>
        <v>146</v>
      </c>
      <c r="W10" s="49">
        <f t="shared" si="3"/>
        <v>146</v>
      </c>
      <c r="X10" s="49">
        <f t="shared" si="3"/>
        <v>146</v>
      </c>
      <c r="Y10" s="50">
        <f t="shared" si="3"/>
        <v>158</v>
      </c>
      <c r="Z10" s="48">
        <f t="shared" si="3"/>
        <v>254</v>
      </c>
      <c r="AA10" s="49">
        <f t="shared" si="3"/>
        <v>146</v>
      </c>
      <c r="AB10" s="49">
        <f t="shared" si="3"/>
        <v>146</v>
      </c>
      <c r="AC10" s="49">
        <f t="shared" si="3"/>
        <v>146</v>
      </c>
      <c r="AD10" s="50">
        <f t="shared" si="3"/>
        <v>158</v>
      </c>
      <c r="AE10" s="48">
        <f t="shared" si="3"/>
        <v>128</v>
      </c>
      <c r="AF10" s="49">
        <f t="shared" si="3"/>
        <v>128</v>
      </c>
      <c r="AG10" s="49">
        <f t="shared" si="3"/>
        <v>128</v>
      </c>
      <c r="AH10" s="49">
        <f t="shared" si="3"/>
        <v>128</v>
      </c>
      <c r="AI10" s="50">
        <f t="shared" si="3"/>
        <v>254</v>
      </c>
      <c r="AJ10" s="48">
        <f t="shared" si="3"/>
        <v>254</v>
      </c>
      <c r="AK10" s="49">
        <f t="shared" si="3"/>
        <v>146</v>
      </c>
      <c r="AL10" s="49">
        <f t="shared" si="3"/>
        <v>146</v>
      </c>
      <c r="AM10" s="49">
        <f t="shared" si="3"/>
        <v>146</v>
      </c>
      <c r="AN10" s="50">
        <f t="shared" si="3"/>
        <v>254</v>
      </c>
      <c r="AO10" s="48">
        <f t="shared" si="3"/>
        <v>242</v>
      </c>
      <c r="AP10" s="49">
        <f t="shared" si="3"/>
        <v>146</v>
      </c>
      <c r="AQ10" s="49">
        <f t="shared" si="3"/>
        <v>146</v>
      </c>
      <c r="AR10" s="49">
        <f t="shared" si="3"/>
        <v>146</v>
      </c>
      <c r="AS10" s="50">
        <f t="shared" si="3"/>
        <v>254</v>
      </c>
      <c r="AT10" s="48">
        <f t="shared" si="3"/>
        <v>254</v>
      </c>
      <c r="AU10" s="49">
        <f t="shared" si="3"/>
        <v>130</v>
      </c>
      <c r="AV10" s="49">
        <f t="shared" si="3"/>
        <v>130</v>
      </c>
      <c r="AW10" s="49">
        <f t="shared" si="3"/>
        <v>130</v>
      </c>
      <c r="AX10" s="50">
        <f t="shared" si="3"/>
        <v>254</v>
      </c>
      <c r="AY10" s="48">
        <f t="shared" si="3"/>
        <v>254</v>
      </c>
      <c r="AZ10" s="49">
        <f t="shared" si="3"/>
        <v>136</v>
      </c>
      <c r="BA10" s="49">
        <f t="shared" si="3"/>
        <v>136</v>
      </c>
      <c r="BB10" s="49">
        <f t="shared" si="3"/>
        <v>136</v>
      </c>
      <c r="BC10" s="50">
        <f t="shared" si="3"/>
        <v>254</v>
      </c>
      <c r="BD10" s="48">
        <f t="shared" si="3"/>
        <v>254</v>
      </c>
      <c r="BE10" s="49">
        <f t="shared" si="3"/>
        <v>146</v>
      </c>
      <c r="BF10" s="49">
        <f t="shared" si="3"/>
        <v>146</v>
      </c>
      <c r="BG10" s="49">
        <f t="shared" si="3"/>
        <v>146</v>
      </c>
      <c r="BH10" s="50">
        <f t="shared" si="3"/>
        <v>108</v>
      </c>
      <c r="BI10" s="48">
        <f t="shared" si="3"/>
        <v>254</v>
      </c>
      <c r="BJ10" s="49">
        <f t="shared" si="3"/>
        <v>130</v>
      </c>
      <c r="BK10" s="49">
        <f t="shared" si="3"/>
        <v>130</v>
      </c>
      <c r="BL10" s="49">
        <f t="shared" si="3"/>
        <v>130</v>
      </c>
      <c r="BM10" s="50">
        <f t="shared" si="3"/>
        <v>130</v>
      </c>
      <c r="BN10" s="48">
        <f t="shared" ref="BN10:DY10" si="4">BIN2DEC(BN9)</f>
        <v>254</v>
      </c>
      <c r="BO10" s="49">
        <f t="shared" si="4"/>
        <v>130</v>
      </c>
      <c r="BP10" s="49">
        <f t="shared" si="4"/>
        <v>130</v>
      </c>
      <c r="BQ10" s="49">
        <f t="shared" si="4"/>
        <v>130</v>
      </c>
      <c r="BR10" s="50">
        <f t="shared" si="4"/>
        <v>124</v>
      </c>
      <c r="BS10" s="48">
        <f t="shared" si="4"/>
        <v>254</v>
      </c>
      <c r="BT10" s="49">
        <f t="shared" si="4"/>
        <v>146</v>
      </c>
      <c r="BU10" s="49">
        <f t="shared" si="4"/>
        <v>146</v>
      </c>
      <c r="BV10" s="49">
        <f t="shared" si="4"/>
        <v>130</v>
      </c>
      <c r="BW10" s="50">
        <f t="shared" si="4"/>
        <v>130</v>
      </c>
      <c r="BX10" s="48">
        <f t="shared" si="4"/>
        <v>254</v>
      </c>
      <c r="BY10" s="49">
        <f t="shared" si="4"/>
        <v>144</v>
      </c>
      <c r="BZ10" s="49">
        <f t="shared" si="4"/>
        <v>144</v>
      </c>
      <c r="CA10" s="49">
        <f t="shared" si="4"/>
        <v>128</v>
      </c>
      <c r="CB10" s="50">
        <f t="shared" si="4"/>
        <v>128</v>
      </c>
      <c r="CC10" s="48">
        <f t="shared" si="4"/>
        <v>254</v>
      </c>
      <c r="CD10" s="49">
        <f t="shared" si="4"/>
        <v>130</v>
      </c>
      <c r="CE10" s="49">
        <f t="shared" si="4"/>
        <v>130</v>
      </c>
      <c r="CF10" s="49">
        <f t="shared" si="4"/>
        <v>146</v>
      </c>
      <c r="CG10" s="50">
        <f t="shared" si="4"/>
        <v>158</v>
      </c>
      <c r="CH10" s="48">
        <f t="shared" si="4"/>
        <v>254</v>
      </c>
      <c r="CI10" s="49">
        <f t="shared" si="4"/>
        <v>16</v>
      </c>
      <c r="CJ10" s="49">
        <f t="shared" si="4"/>
        <v>16</v>
      </c>
      <c r="CK10" s="49">
        <f t="shared" si="4"/>
        <v>16</v>
      </c>
      <c r="CL10" s="50">
        <f t="shared" si="4"/>
        <v>254</v>
      </c>
      <c r="CM10" s="48">
        <f t="shared" si="4"/>
        <v>130</v>
      </c>
      <c r="CN10" s="49">
        <f t="shared" si="4"/>
        <v>130</v>
      </c>
      <c r="CO10" s="49">
        <f t="shared" si="4"/>
        <v>254</v>
      </c>
      <c r="CP10" s="49">
        <f t="shared" si="4"/>
        <v>130</v>
      </c>
      <c r="CQ10" s="50">
        <f t="shared" si="4"/>
        <v>130</v>
      </c>
      <c r="CR10" s="48">
        <f t="shared" si="4"/>
        <v>4</v>
      </c>
      <c r="CS10" s="49">
        <f t="shared" si="4"/>
        <v>2</v>
      </c>
      <c r="CT10" s="49">
        <f t="shared" si="4"/>
        <v>130</v>
      </c>
      <c r="CU10" s="49">
        <f t="shared" si="4"/>
        <v>252</v>
      </c>
      <c r="CV10" s="50">
        <f t="shared" si="4"/>
        <v>128</v>
      </c>
      <c r="CW10" s="48">
        <f t="shared" si="4"/>
        <v>254</v>
      </c>
      <c r="CX10" s="49">
        <f t="shared" si="4"/>
        <v>16</v>
      </c>
      <c r="CY10" s="49">
        <f t="shared" si="4"/>
        <v>40</v>
      </c>
      <c r="CZ10" s="49">
        <f t="shared" si="4"/>
        <v>68</v>
      </c>
      <c r="DA10" s="50">
        <f t="shared" si="4"/>
        <v>130</v>
      </c>
      <c r="DB10" s="48">
        <f t="shared" si="4"/>
        <v>130</v>
      </c>
      <c r="DC10" s="49">
        <f t="shared" si="4"/>
        <v>254</v>
      </c>
      <c r="DD10" s="49">
        <f t="shared" si="4"/>
        <v>130</v>
      </c>
      <c r="DE10" s="49">
        <f t="shared" si="4"/>
        <v>2</v>
      </c>
      <c r="DF10" s="50">
        <f t="shared" si="4"/>
        <v>6</v>
      </c>
      <c r="DG10" s="48">
        <f t="shared" si="4"/>
        <v>254</v>
      </c>
      <c r="DH10" s="49">
        <f t="shared" si="4"/>
        <v>192</v>
      </c>
      <c r="DI10" s="49">
        <f t="shared" si="4"/>
        <v>48</v>
      </c>
      <c r="DJ10" s="49">
        <f t="shared" si="4"/>
        <v>192</v>
      </c>
      <c r="DK10" s="50">
        <f t="shared" si="4"/>
        <v>254</v>
      </c>
      <c r="DL10" s="48">
        <f t="shared" si="4"/>
        <v>254</v>
      </c>
      <c r="DM10" s="49">
        <f t="shared" si="4"/>
        <v>192</v>
      </c>
      <c r="DN10" s="49">
        <f t="shared" si="4"/>
        <v>56</v>
      </c>
      <c r="DO10" s="49">
        <f t="shared" si="4"/>
        <v>6</v>
      </c>
      <c r="DP10" s="50">
        <f t="shared" si="4"/>
        <v>254</v>
      </c>
      <c r="DQ10" s="48">
        <f t="shared" si="4"/>
        <v>124</v>
      </c>
      <c r="DR10" s="49">
        <f t="shared" si="4"/>
        <v>130</v>
      </c>
      <c r="DS10" s="49">
        <f t="shared" si="4"/>
        <v>130</v>
      </c>
      <c r="DT10" s="49">
        <f t="shared" si="4"/>
        <v>130</v>
      </c>
      <c r="DU10" s="50">
        <f t="shared" si="4"/>
        <v>124</v>
      </c>
      <c r="DV10" s="48">
        <f t="shared" si="4"/>
        <v>130</v>
      </c>
      <c r="DW10" s="49">
        <f t="shared" si="4"/>
        <v>254</v>
      </c>
      <c r="DX10" s="49">
        <f t="shared" si="4"/>
        <v>138</v>
      </c>
      <c r="DY10" s="49">
        <f t="shared" si="4"/>
        <v>136</v>
      </c>
      <c r="DZ10" s="50">
        <f t="shared" ref="DZ10:FX10" si="5">BIN2DEC(DZ9)</f>
        <v>112</v>
      </c>
      <c r="EA10" s="48">
        <f t="shared" si="5"/>
        <v>248</v>
      </c>
      <c r="EB10" s="49">
        <f t="shared" si="5"/>
        <v>136</v>
      </c>
      <c r="EC10" s="49">
        <f t="shared" si="5"/>
        <v>158</v>
      </c>
      <c r="ED10" s="49">
        <f t="shared" si="5"/>
        <v>138</v>
      </c>
      <c r="EE10" s="50">
        <f t="shared" si="5"/>
        <v>250</v>
      </c>
      <c r="EF10" s="48">
        <f t="shared" si="5"/>
        <v>2</v>
      </c>
      <c r="EG10" s="49">
        <f t="shared" si="5"/>
        <v>254</v>
      </c>
      <c r="EH10" s="49">
        <f t="shared" si="5"/>
        <v>154</v>
      </c>
      <c r="EI10" s="49">
        <f t="shared" si="5"/>
        <v>148</v>
      </c>
      <c r="EJ10" s="50">
        <f t="shared" si="5"/>
        <v>114</v>
      </c>
      <c r="EK10" s="48">
        <f t="shared" si="5"/>
        <v>242</v>
      </c>
      <c r="EL10" s="49">
        <f t="shared" si="5"/>
        <v>146</v>
      </c>
      <c r="EM10" s="49">
        <f t="shared" si="5"/>
        <v>146</v>
      </c>
      <c r="EN10" s="49">
        <f t="shared" si="5"/>
        <v>146</v>
      </c>
      <c r="EO10" s="50">
        <f t="shared" si="5"/>
        <v>158</v>
      </c>
      <c r="EP10" s="48">
        <f t="shared" si="5"/>
        <v>128</v>
      </c>
      <c r="EQ10" s="49">
        <f t="shared" si="5"/>
        <v>128</v>
      </c>
      <c r="ER10" s="49">
        <f t="shared" si="5"/>
        <v>254</v>
      </c>
      <c r="ES10" s="49">
        <f t="shared" si="5"/>
        <v>128</v>
      </c>
      <c r="ET10" s="50">
        <f t="shared" si="5"/>
        <v>128</v>
      </c>
      <c r="EU10" s="48">
        <f t="shared" si="5"/>
        <v>254</v>
      </c>
      <c r="EV10" s="49">
        <f t="shared" si="5"/>
        <v>2</v>
      </c>
      <c r="EW10" s="49">
        <f t="shared" si="5"/>
        <v>2</v>
      </c>
      <c r="EX10" s="49">
        <f t="shared" si="5"/>
        <v>2</v>
      </c>
      <c r="EY10" s="50">
        <f t="shared" si="5"/>
        <v>254</v>
      </c>
      <c r="EZ10" s="48">
        <f t="shared" si="5"/>
        <v>240</v>
      </c>
      <c r="FA10" s="49">
        <f t="shared" si="5"/>
        <v>24</v>
      </c>
      <c r="FB10" s="49">
        <f t="shared" si="5"/>
        <v>6</v>
      </c>
      <c r="FC10" s="49">
        <f t="shared" si="5"/>
        <v>24</v>
      </c>
      <c r="FD10" s="50">
        <f t="shared" si="5"/>
        <v>224</v>
      </c>
      <c r="FE10" s="48">
        <f t="shared" si="5"/>
        <v>252</v>
      </c>
      <c r="FF10" s="49">
        <f t="shared" si="5"/>
        <v>2</v>
      </c>
      <c r="FG10" s="49">
        <f t="shared" si="5"/>
        <v>12</v>
      </c>
      <c r="FH10" s="49">
        <f t="shared" si="5"/>
        <v>2</v>
      </c>
      <c r="FI10" s="50">
        <f t="shared" si="5"/>
        <v>252</v>
      </c>
      <c r="FJ10" s="48">
        <f t="shared" si="5"/>
        <v>198</v>
      </c>
      <c r="FK10" s="49">
        <f t="shared" si="5"/>
        <v>40</v>
      </c>
      <c r="FL10" s="49">
        <f t="shared" si="5"/>
        <v>16</v>
      </c>
      <c r="FM10" s="49">
        <f t="shared" si="5"/>
        <v>40</v>
      </c>
      <c r="FN10" s="50">
        <f t="shared" si="5"/>
        <v>198</v>
      </c>
      <c r="FO10" s="48">
        <f t="shared" si="5"/>
        <v>128</v>
      </c>
      <c r="FP10" s="49">
        <f t="shared" si="5"/>
        <v>98</v>
      </c>
      <c r="FQ10" s="49">
        <f t="shared" si="5"/>
        <v>30</v>
      </c>
      <c r="FR10" s="49">
        <f t="shared" si="5"/>
        <v>98</v>
      </c>
      <c r="FS10" s="50">
        <f t="shared" si="5"/>
        <v>128</v>
      </c>
      <c r="FT10" s="48">
        <f t="shared" si="5"/>
        <v>206</v>
      </c>
      <c r="FU10" s="49">
        <f t="shared" si="5"/>
        <v>154</v>
      </c>
      <c r="FV10" s="49">
        <f t="shared" si="5"/>
        <v>178</v>
      </c>
      <c r="FW10" s="49">
        <f t="shared" si="5"/>
        <v>162</v>
      </c>
      <c r="FX10" s="50">
        <f t="shared" si="5"/>
        <v>230</v>
      </c>
      <c r="GC10">
        <f>37*5</f>
        <v>185</v>
      </c>
    </row>
    <row r="11" spans="1:190" s="47" customFormat="1" ht="15.75" thickTop="1">
      <c r="A11" s="46">
        <v>1</v>
      </c>
      <c r="B11" s="51"/>
      <c r="C11" s="51"/>
      <c r="D11" s="51"/>
      <c r="E11" s="51"/>
      <c r="F11" s="46">
        <v>2</v>
      </c>
      <c r="G11" s="51"/>
      <c r="H11" s="51"/>
      <c r="I11" s="51"/>
      <c r="J11" s="51"/>
      <c r="K11" s="46">
        <v>3</v>
      </c>
      <c r="L11" s="51"/>
      <c r="M11" s="51"/>
      <c r="N11" s="51"/>
      <c r="O11" s="51"/>
      <c r="P11" s="46">
        <v>4</v>
      </c>
      <c r="Q11" s="51"/>
      <c r="R11" s="51"/>
      <c r="S11" s="51"/>
      <c r="T11" s="51"/>
      <c r="U11" s="46">
        <v>5</v>
      </c>
      <c r="V11" s="51"/>
      <c r="W11" s="51"/>
      <c r="X11" s="51"/>
      <c r="Y11" s="51"/>
      <c r="Z11" s="46">
        <v>6</v>
      </c>
      <c r="AA11" s="51"/>
      <c r="AB11" s="51"/>
      <c r="AC11" s="51"/>
      <c r="AD11" s="51"/>
      <c r="AE11" s="46">
        <v>7</v>
      </c>
      <c r="AF11" s="51"/>
      <c r="AG11" s="51"/>
      <c r="AH11" s="51"/>
      <c r="AI11" s="51"/>
      <c r="AJ11" s="46">
        <v>8</v>
      </c>
      <c r="AK11" s="51"/>
      <c r="AL11" s="51"/>
      <c r="AM11" s="51"/>
      <c r="AN11" s="51"/>
      <c r="AO11" s="46">
        <v>9</v>
      </c>
      <c r="AP11" s="51"/>
      <c r="AQ11" s="51"/>
      <c r="AR11" s="51"/>
      <c r="AS11" s="51"/>
      <c r="AT11" s="46">
        <v>0</v>
      </c>
      <c r="AU11" s="51"/>
      <c r="AV11" s="51"/>
      <c r="AW11" s="51"/>
      <c r="AX11" s="51"/>
      <c r="AY11" s="51" t="s">
        <v>10</v>
      </c>
      <c r="AZ11" s="51"/>
      <c r="BA11" s="51"/>
      <c r="BB11" s="51"/>
      <c r="BC11" s="51"/>
      <c r="BD11" s="51" t="s">
        <v>11</v>
      </c>
      <c r="BE11" s="51"/>
      <c r="BF11" s="51"/>
      <c r="BG11" s="51"/>
      <c r="BH11" s="51"/>
      <c r="BI11" s="51" t="s">
        <v>12</v>
      </c>
      <c r="BJ11" s="51"/>
      <c r="BK11" s="51"/>
      <c r="BL11" s="51"/>
      <c r="BM11" s="51"/>
      <c r="BN11" s="51" t="s">
        <v>13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</row>
    <row r="12" spans="1:190" ht="15.75" thickBot="1">
      <c r="A12" s="52"/>
      <c r="B12" s="52"/>
      <c r="C12" s="52"/>
      <c r="D12" s="52"/>
      <c r="E12" s="52"/>
      <c r="F12" s="39">
        <v>0</v>
      </c>
      <c r="G12" s="52">
        <v>1</v>
      </c>
      <c r="H12" s="53">
        <v>2</v>
      </c>
      <c r="I12" s="54">
        <v>3</v>
      </c>
      <c r="J12" s="54">
        <v>4</v>
      </c>
      <c r="K12" s="52"/>
      <c r="L12" s="52"/>
      <c r="M12" s="52"/>
      <c r="N12" s="52"/>
      <c r="O12" s="52"/>
      <c r="P12" s="52">
        <v>1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</row>
    <row r="13" spans="1:190" ht="15.75" thickBot="1">
      <c r="A13" s="136" t="s">
        <v>14</v>
      </c>
      <c r="B13" s="136"/>
      <c r="C13" s="55">
        <v>0</v>
      </c>
      <c r="D13" s="52"/>
      <c r="E13" s="52">
        <v>0</v>
      </c>
      <c r="F13" s="56">
        <f>INDEX($A$1:$AX$8,E13+1,MATCH(C13,A11:AX11,)+$F$12)</f>
        <v>1</v>
      </c>
      <c r="G13" s="57">
        <f>INDEX($A$1:$AX$8,E13+1,MATCH(C13,A11:AX11,)+$G$12)</f>
        <v>1</v>
      </c>
      <c r="H13" s="57">
        <f>INDEX($A$1:$AX$8,E13+1,MATCH(C13,A11:AX11,)+$H$12)</f>
        <v>1</v>
      </c>
      <c r="I13" s="57">
        <f>INDEX($A$1:$AX$8,E13+1,MATCH(C13,A11:AX11,)+$I$12)</f>
        <v>1</v>
      </c>
      <c r="J13" s="58">
        <f>INDEX($A$1:$AX$8,E13+1,MATCH(C13,A11:AX11,)+$J$12)</f>
        <v>1</v>
      </c>
      <c r="K13" s="52"/>
      <c r="L13" s="39"/>
      <c r="M13" s="39"/>
      <c r="N13" s="39"/>
      <c r="O13" s="52"/>
      <c r="P13" s="52" t="str">
        <f>DEC2HEX(P12)</f>
        <v>1</v>
      </c>
      <c r="Q13" s="52" t="str">
        <f t="shared" ref="Q13:T13" si="6">DEC2HEX(Q10)</f>
        <v>10</v>
      </c>
      <c r="R13" s="52" t="str">
        <f t="shared" si="6"/>
        <v>10</v>
      </c>
      <c r="S13" s="52" t="str">
        <f t="shared" si="6"/>
        <v>10</v>
      </c>
      <c r="T13" s="52" t="str">
        <f t="shared" si="6"/>
        <v>FE</v>
      </c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</row>
    <row r="14" spans="1:190" ht="15.75" thickBot="1">
      <c r="A14" s="59"/>
      <c r="B14" s="59"/>
      <c r="C14" s="52">
        <v>3</v>
      </c>
      <c r="D14" s="52"/>
      <c r="E14" s="52">
        <v>1</v>
      </c>
      <c r="F14" s="60">
        <f>INDEX($A$1:$AX$8,E14+1,MATCH(C13,A11:AX11,)+$F$12)</f>
        <v>1</v>
      </c>
      <c r="G14" s="32">
        <f>INDEX($A$1:$AX$8,E14+1,MATCH(C13,A11:AX11,)+$G$12)</f>
        <v>0</v>
      </c>
      <c r="H14" s="32">
        <f>INDEX($A$1:$AX$8,E14+1,MATCH(C13,A11:AX11,)+$H$12)</f>
        <v>0</v>
      </c>
      <c r="I14" s="32">
        <f>INDEX($A$1:$AX$8,E14+1,MATCH(C13,A11:AX11,)+$I$12)</f>
        <v>0</v>
      </c>
      <c r="J14" s="61">
        <f>INDEX($A$1:$AX$8,E14+1,MATCH(C13,A11:AX11,)+$J$12)</f>
        <v>1</v>
      </c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</row>
    <row r="15" spans="1:190" ht="15.75" thickBot="1">
      <c r="A15" s="136" t="s">
        <v>15</v>
      </c>
      <c r="B15" s="136"/>
      <c r="C15" s="55">
        <v>1</v>
      </c>
      <c r="D15" s="52"/>
      <c r="E15" s="52">
        <v>2</v>
      </c>
      <c r="F15" s="60">
        <f>INDEX($A$1:$AX$8,E15+1,MATCH(C13,A11:AX11,)+$F$12)</f>
        <v>1</v>
      </c>
      <c r="G15" s="32">
        <f>INDEX($A$1:$AX$8,E15+1,MATCH(C13,A11:AX11,)+$G$12)</f>
        <v>0</v>
      </c>
      <c r="H15" s="32">
        <f>INDEX($A$1:$AX$8,E15+1,MATCH(C13,A11:AX11,)+$H$12)</f>
        <v>0</v>
      </c>
      <c r="I15" s="32">
        <f>INDEX($A$1:$AX$8,E15+1,MATCH(C13,A11:AX11,)+$I$12)</f>
        <v>0</v>
      </c>
      <c r="J15" s="61">
        <f>INDEX($A$1:$AX$8,E15+1,MATCH(C13,A11:AX11,)+$J$12)</f>
        <v>1</v>
      </c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</row>
    <row r="16" spans="1:190" ht="15.75" thickBot="1">
      <c r="A16" s="136" t="s">
        <v>16</v>
      </c>
      <c r="B16" s="136"/>
      <c r="C16" s="55">
        <v>0</v>
      </c>
      <c r="D16" s="52"/>
      <c r="E16" s="54">
        <v>3</v>
      </c>
      <c r="F16" s="60">
        <f>INDEX($A$1:$AX$8,E16+1,MATCH(C13,A11:AX11,)+$F$12)</f>
        <v>1</v>
      </c>
      <c r="G16" s="32">
        <f>INDEX($A$1:$AX$8,E16+1,MATCH(C13,A11:AX11,)+$G$12)</f>
        <v>0</v>
      </c>
      <c r="H16" s="32">
        <f>INDEX($A$1:$AX$8,E16+1,MATCH(C13,A11:AX11,)+$H$12)</f>
        <v>0</v>
      </c>
      <c r="I16" s="32">
        <f>INDEX($A$1:$AX$8,E16+1,MATCH(C13,A11:AX11,)+$I$12)</f>
        <v>0</v>
      </c>
      <c r="J16" s="61">
        <f>INDEX($A$1:$AX$8,E16+1,MATCH(C13,A11:AX11,)+$J$12)</f>
        <v>1</v>
      </c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</row>
    <row r="17" spans="1:190" ht="15.75" thickBot="1">
      <c r="A17" s="136" t="s">
        <v>17</v>
      </c>
      <c r="B17" s="136"/>
      <c r="C17" s="62">
        <f>INDEX($A$1:$AX$8,C15+1,MATCH(C13,A11:AX11,)+C16)</f>
        <v>1</v>
      </c>
      <c r="D17" s="52"/>
      <c r="E17" s="54">
        <v>4</v>
      </c>
      <c r="F17" s="60">
        <f>INDEX($A$1:$AX$8,E17+1,MATCH(C13,A11:AX11,)+$F$12)</f>
        <v>1</v>
      </c>
      <c r="G17" s="32">
        <f>INDEX($A$1:$AX$8,E17+1,MATCH(C13,A11:AX11,)+$G$12)</f>
        <v>0</v>
      </c>
      <c r="H17" s="32">
        <f>INDEX($A$1:$AX$8,E17+1,MATCH(C13,A11:AX11,)+$H$12)</f>
        <v>0</v>
      </c>
      <c r="I17" s="32">
        <f>INDEX($A$1:$AX$8,E17+1,MATCH(C13,A11:AX11,)+$I$12)</f>
        <v>0</v>
      </c>
      <c r="J17" s="61">
        <f>INDEX($A$1:$AX$8,E17+1,MATCH(C13,A11:AX11,)+$J$12)</f>
        <v>1</v>
      </c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</row>
    <row r="18" spans="1:190" ht="15" customHeight="1" thickBot="1">
      <c r="A18" s="52"/>
      <c r="B18" s="52"/>
      <c r="C18" s="52"/>
      <c r="D18" s="52"/>
      <c r="E18" s="54">
        <v>5</v>
      </c>
      <c r="F18" s="60">
        <f>INDEX($A$1:$AX$8,E18+1,MATCH(C13,A11:AX11,)+$F$12)</f>
        <v>1</v>
      </c>
      <c r="G18" s="32">
        <f>INDEX($A$1:$AX$8,E18+1,MATCH(C13,A11:AX11,)+$G$12)</f>
        <v>0</v>
      </c>
      <c r="H18" s="32">
        <f>INDEX($A$1:$AX$8,E18+1,MATCH(C13,A11:AX11,)+$H$12)</f>
        <v>0</v>
      </c>
      <c r="I18" s="32">
        <f>INDEX($A$1:$AX$8,E18+1,MATCH(C13,A11:AX11,)+$I$12)</f>
        <v>0</v>
      </c>
      <c r="J18" s="61">
        <f>INDEX($A$1:$AX$8,E18+1,MATCH(C13,A11:AX11,)+$J$12)</f>
        <v>1</v>
      </c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52"/>
      <c r="DS18" s="52"/>
      <c r="DT18" s="52"/>
      <c r="DU18" s="52"/>
      <c r="DV18" s="52"/>
      <c r="DW18" s="52"/>
      <c r="DX18" s="52"/>
      <c r="DY18" s="52"/>
      <c r="DZ18" s="52"/>
      <c r="EA18" s="52"/>
      <c r="EB18" s="52"/>
      <c r="EC18" s="52"/>
      <c r="ED18" s="52"/>
      <c r="EE18" s="52"/>
      <c r="EF18" s="52"/>
      <c r="EG18" s="52"/>
      <c r="EH18" s="52"/>
      <c r="EI18" s="52"/>
      <c r="EJ18" s="52"/>
      <c r="EK18" s="52"/>
      <c r="EL18" s="52"/>
      <c r="EM18" s="52"/>
      <c r="EN18" s="52"/>
      <c r="EO18" s="52"/>
      <c r="EP18" s="52"/>
      <c r="EQ18" s="52"/>
      <c r="ER18" s="52"/>
      <c r="ES18" s="52"/>
      <c r="ET18" s="52"/>
      <c r="EU18" s="52"/>
      <c r="EV18" s="52"/>
      <c r="EW18" s="52"/>
      <c r="EX18" s="52"/>
      <c r="EY18" s="52"/>
      <c r="EZ18" s="52"/>
      <c r="FA18" s="52"/>
      <c r="FB18" s="52"/>
      <c r="FC18" s="52"/>
      <c r="FD18" s="52"/>
      <c r="FE18" s="52"/>
      <c r="FF18" s="52"/>
      <c r="FG18" s="52"/>
      <c r="FH18" s="52"/>
      <c r="FI18" s="52"/>
      <c r="FJ18" s="52"/>
      <c r="FK18" s="52"/>
      <c r="FL18" s="52"/>
      <c r="FM18" s="52"/>
      <c r="FN18" s="52"/>
      <c r="FO18" s="52"/>
      <c r="FP18" s="52"/>
      <c r="FQ18" s="52"/>
      <c r="FR18" s="52"/>
      <c r="FS18" s="52"/>
      <c r="FT18" s="52"/>
      <c r="FU18" s="52"/>
      <c r="FV18" s="52"/>
      <c r="FW18" s="52"/>
      <c r="FX18" s="52"/>
    </row>
    <row r="19" spans="1:190" ht="15" customHeight="1" thickBot="1">
      <c r="E19" s="54">
        <v>6</v>
      </c>
      <c r="F19" s="60">
        <f>INDEX($A$1:$AX$8,E19+1,MATCH(C13,A11:AX11,)+$F$12)</f>
        <v>1</v>
      </c>
      <c r="G19" s="32">
        <f>INDEX($A$1:$AX$8,E19+1,MATCH(C13,A11:AX11,)+$G$12)</f>
        <v>1</v>
      </c>
      <c r="H19" s="32">
        <f>INDEX($A$1:$AX$8,E19+1,MATCH(C13,A11:AX11,)+$H$12)</f>
        <v>1</v>
      </c>
      <c r="I19" s="32">
        <f>INDEX($A$1:$AX$8,E19+1,MATCH(C13,A11:AX11,)+$I$12)</f>
        <v>1</v>
      </c>
      <c r="J19" s="61">
        <f>INDEX($A$1:$AX$8,E19+1,MATCH(C13,A11:AX11,)+$J$12)</f>
        <v>1</v>
      </c>
      <c r="L19" s="63"/>
      <c r="BD19" s="64"/>
      <c r="BE19" s="64"/>
    </row>
    <row r="20" spans="1:190" s="52" customFormat="1" ht="15.75" thickBot="1">
      <c r="E20" s="54">
        <v>7</v>
      </c>
      <c r="F20" s="65">
        <f>INDEX($A$1:$AX$8,E20+1,MATCH(C13,A11:AX11,)+$F$12)</f>
        <v>0</v>
      </c>
      <c r="G20" s="66">
        <f>INDEX($A$1:$AX$8,E20+1,MATCH(C13,A11:AX11,)+$G$12)</f>
        <v>0</v>
      </c>
      <c r="H20" s="66">
        <f>INDEX($A$1:$AX$8,E20+1,MATCH(C13,A11:AX11,)+$H$12)</f>
        <v>0</v>
      </c>
      <c r="I20" s="66">
        <f>INDEX($A$1:$AX$8,E20+1,MATCH(C13,A11:AX11,)+$I$12)</f>
        <v>0</v>
      </c>
      <c r="J20" s="67">
        <f>INDEX($A$1:$AX$8,E20+1,MATCH(C13,A11:AX11,)+$J$12)</f>
        <v>0</v>
      </c>
    </row>
    <row r="21" spans="1:190" s="52" customFormat="1"/>
    <row r="22" spans="1:190" s="52" customFormat="1"/>
    <row r="23" spans="1:190" s="52" customFormat="1"/>
    <row r="24" spans="1:190" s="52" customFormat="1"/>
    <row r="25" spans="1:190" s="52" customFormat="1"/>
    <row r="26" spans="1:190" s="52" customFormat="1"/>
    <row r="27" spans="1:190" s="52" customFormat="1"/>
    <row r="28" spans="1:190" s="52" customFormat="1"/>
    <row r="29" spans="1:190" s="52" customFormat="1"/>
    <row r="30" spans="1:190" s="52" customFormat="1"/>
    <row r="31" spans="1:190" s="52" customFormat="1"/>
  </sheetData>
  <mergeCells count="4">
    <mergeCell ref="A13:B13"/>
    <mergeCell ref="A15:B15"/>
    <mergeCell ref="A16:B16"/>
    <mergeCell ref="A17:B17"/>
  </mergeCells>
  <conditionalFormatting sqref="A1:FX10 A11 K11 P11 U11 Z11 AE11 AJ11 AO11 AT11 F11:F12">
    <cfRule type="expression" dxfId="2" priority="3">
      <formula>A1=1</formula>
    </cfRule>
  </conditionalFormatting>
  <conditionalFormatting sqref="L13:N13 F13:J20">
    <cfRule type="expression" dxfId="1" priority="2">
      <formula>F13=1</formula>
    </cfRule>
  </conditionalFormatting>
  <conditionalFormatting sqref="C17">
    <cfRule type="expression" dxfId="0" priority="1">
      <formula>C17=1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L58"/>
  <sheetViews>
    <sheetView workbookViewId="0">
      <selection activeCell="A17" sqref="A17"/>
    </sheetView>
  </sheetViews>
  <sheetFormatPr defaultRowHeight="15"/>
  <sheetData>
    <row r="1" spans="1:12" ht="15.75" thickBot="1">
      <c r="A1" s="126" t="s">
        <v>77</v>
      </c>
      <c r="B1" s="127" t="s">
        <v>2</v>
      </c>
      <c r="C1" s="127" t="s">
        <v>75</v>
      </c>
      <c r="D1" s="128" t="s">
        <v>76</v>
      </c>
    </row>
    <row r="2" spans="1:12" ht="15.75" thickBot="1">
      <c r="A2" s="24" t="s">
        <v>18</v>
      </c>
      <c r="B2" s="129">
        <f>HEX2DEC("FF")</f>
        <v>255</v>
      </c>
      <c r="C2" s="129">
        <f>HEX2DEC("FF")</f>
        <v>255</v>
      </c>
      <c r="D2" s="129">
        <f>HEX2DEC("FF")</f>
        <v>255</v>
      </c>
      <c r="G2" s="126" t="s">
        <v>2</v>
      </c>
      <c r="H2" s="127" t="s">
        <v>75</v>
      </c>
      <c r="I2" s="127" t="s">
        <v>76</v>
      </c>
      <c r="J2" s="128" t="s">
        <v>77</v>
      </c>
    </row>
    <row r="3" spans="1:12">
      <c r="A3" s="68" t="s">
        <v>19</v>
      </c>
      <c r="B3" s="124">
        <f>HEX2DEC("00")</f>
        <v>0</v>
      </c>
      <c r="C3" s="124">
        <f>HEX2DEC("00")</f>
        <v>0</v>
      </c>
      <c r="D3" s="124">
        <f>HEX2DEC("00")</f>
        <v>0</v>
      </c>
      <c r="G3" s="125">
        <v>123</v>
      </c>
      <c r="H3" s="125">
        <v>12</v>
      </c>
      <c r="I3" s="125">
        <v>12</v>
      </c>
      <c r="J3" s="130"/>
      <c r="K3" s="24"/>
      <c r="L3" s="24"/>
    </row>
    <row r="4" spans="1:12">
      <c r="A4" s="69" t="s">
        <v>20</v>
      </c>
      <c r="B4" s="124">
        <f>HEX2DEC("FF")</f>
        <v>255</v>
      </c>
      <c r="C4" s="124">
        <f>HEX2DEC("FF")</f>
        <v>255</v>
      </c>
      <c r="D4" s="124">
        <f>HEX2DEC("FF")</f>
        <v>255</v>
      </c>
    </row>
    <row r="5" spans="1:12">
      <c r="A5" s="70" t="s">
        <v>21</v>
      </c>
      <c r="B5" s="124">
        <f>HEX2DEC("FF")</f>
        <v>255</v>
      </c>
      <c r="C5" s="124">
        <f>HEX2DEC("00")</f>
        <v>0</v>
      </c>
      <c r="D5" s="124">
        <f>HEX2DEC("00")</f>
        <v>0</v>
      </c>
    </row>
    <row r="6" spans="1:12">
      <c r="A6" s="71" t="s">
        <v>22</v>
      </c>
      <c r="B6" s="124">
        <f>HEX2DEC("00")</f>
        <v>0</v>
      </c>
      <c r="C6" s="124">
        <f>HEX2DEC("FF")</f>
        <v>255</v>
      </c>
      <c r="D6" s="124">
        <f>HEX2DEC("00")</f>
        <v>0</v>
      </c>
    </row>
    <row r="7" spans="1:12">
      <c r="A7" s="72" t="s">
        <v>23</v>
      </c>
      <c r="B7" s="124">
        <f>HEX2DEC("00")</f>
        <v>0</v>
      </c>
      <c r="C7" s="124">
        <f>HEX2DEC("00")</f>
        <v>0</v>
      </c>
      <c r="D7" s="124">
        <f>HEX2DEC("FF")</f>
        <v>255</v>
      </c>
    </row>
    <row r="8" spans="1:12">
      <c r="A8" s="73" t="s">
        <v>24</v>
      </c>
      <c r="B8" s="124">
        <f>HEX2DEC("FF")</f>
        <v>255</v>
      </c>
      <c r="C8" s="124">
        <f>HEX2DEC("FF")</f>
        <v>255</v>
      </c>
      <c r="D8" s="124">
        <f>HEX2DEC("00")</f>
        <v>0</v>
      </c>
    </row>
    <row r="9" spans="1:12">
      <c r="A9" s="74" t="s">
        <v>25</v>
      </c>
      <c r="B9" s="124">
        <f>HEX2DEC("FF")</f>
        <v>255</v>
      </c>
      <c r="C9" s="124">
        <f>HEX2DEC("00")</f>
        <v>0</v>
      </c>
      <c r="D9" s="124">
        <f>HEX2DEC("FF")</f>
        <v>255</v>
      </c>
    </row>
    <row r="10" spans="1:12">
      <c r="A10" s="75" t="s">
        <v>26</v>
      </c>
      <c r="B10" s="124">
        <f>HEX2DEC("00")</f>
        <v>0</v>
      </c>
      <c r="C10" s="124">
        <f>HEX2DEC("FF")</f>
        <v>255</v>
      </c>
      <c r="D10" s="124">
        <f>HEX2DEC("FF")</f>
        <v>255</v>
      </c>
    </row>
    <row r="11" spans="1:12">
      <c r="A11" s="76" t="s">
        <v>27</v>
      </c>
      <c r="B11" s="124">
        <f>HEX2DEC("80")</f>
        <v>128</v>
      </c>
      <c r="C11" s="124">
        <f>HEX2DEC("00")</f>
        <v>0</v>
      </c>
      <c r="D11" s="124">
        <f>HEX2DEC("00")</f>
        <v>0</v>
      </c>
    </row>
    <row r="12" spans="1:12">
      <c r="A12" s="77" t="s">
        <v>28</v>
      </c>
      <c r="B12" s="124">
        <f>HEX2DEC("00")</f>
        <v>0</v>
      </c>
      <c r="C12" s="124">
        <f>HEX2DEC("80")</f>
        <v>128</v>
      </c>
      <c r="D12" s="124">
        <f>HEX2DEC("00")</f>
        <v>0</v>
      </c>
    </row>
    <row r="13" spans="1:12">
      <c r="A13" s="78" t="s">
        <v>29</v>
      </c>
      <c r="B13" s="124">
        <f>HEX2DEC("00")</f>
        <v>0</v>
      </c>
      <c r="C13" s="124">
        <f>HEX2DEC("00")</f>
        <v>0</v>
      </c>
      <c r="D13" s="124">
        <f>HEX2DEC("80")</f>
        <v>128</v>
      </c>
    </row>
    <row r="14" spans="1:12">
      <c r="A14" s="79" t="s">
        <v>30</v>
      </c>
      <c r="B14" s="124">
        <f>HEX2DEC("80")</f>
        <v>128</v>
      </c>
      <c r="C14" s="124">
        <f>HEX2DEC("80")</f>
        <v>128</v>
      </c>
      <c r="D14" s="124">
        <f>HEX2DEC("00")</f>
        <v>0</v>
      </c>
    </row>
    <row r="15" spans="1:12">
      <c r="A15" s="80" t="s">
        <v>31</v>
      </c>
      <c r="B15" s="124">
        <f>HEX2DEC("80")</f>
        <v>128</v>
      </c>
      <c r="C15" s="124">
        <f>HEX2DEC("00")</f>
        <v>0</v>
      </c>
      <c r="D15" s="124">
        <f>HEX2DEC("80")</f>
        <v>128</v>
      </c>
    </row>
    <row r="16" spans="1:12">
      <c r="A16" s="81" t="s">
        <v>32</v>
      </c>
      <c r="B16" s="124">
        <f>HEX2DEC("00")</f>
        <v>0</v>
      </c>
      <c r="C16" s="124">
        <f>HEX2DEC("80")</f>
        <v>128</v>
      </c>
      <c r="D16" s="124">
        <f>HEX2DEC("80")</f>
        <v>128</v>
      </c>
    </row>
    <row r="17" spans="1:4">
      <c r="A17" s="82" t="s">
        <v>33</v>
      </c>
      <c r="B17" s="124">
        <f>HEX2DEC("C0")</f>
        <v>192</v>
      </c>
      <c r="C17" s="124">
        <f>HEX2DEC("C0")</f>
        <v>192</v>
      </c>
      <c r="D17" s="124">
        <f>HEX2DEC("C0")</f>
        <v>192</v>
      </c>
    </row>
    <row r="18" spans="1:4">
      <c r="A18" s="83" t="s">
        <v>34</v>
      </c>
      <c r="B18" s="124">
        <f>HEX2DEC("80")</f>
        <v>128</v>
      </c>
      <c r="C18" s="124">
        <f>HEX2DEC("80")</f>
        <v>128</v>
      </c>
      <c r="D18" s="124">
        <f>HEX2DEC("80")</f>
        <v>128</v>
      </c>
    </row>
    <row r="19" spans="1:4">
      <c r="A19" s="84" t="s">
        <v>35</v>
      </c>
      <c r="B19" s="124">
        <f>HEX2DEC("99")</f>
        <v>153</v>
      </c>
      <c r="C19" s="124">
        <f>HEX2DEC("99")</f>
        <v>153</v>
      </c>
      <c r="D19" s="124">
        <f>HEX2DEC("FF")</f>
        <v>255</v>
      </c>
    </row>
    <row r="20" spans="1:4">
      <c r="A20" s="85" t="s">
        <v>36</v>
      </c>
      <c r="B20" s="124">
        <f>HEX2DEC("99")</f>
        <v>153</v>
      </c>
      <c r="C20" s="124">
        <f>HEX2DEC("33")</f>
        <v>51</v>
      </c>
      <c r="D20" s="124">
        <f>HEX2DEC("66")</f>
        <v>102</v>
      </c>
    </row>
    <row r="21" spans="1:4">
      <c r="A21" s="86" t="s">
        <v>37</v>
      </c>
      <c r="B21" s="124">
        <f>HEX2DEC("FF")</f>
        <v>255</v>
      </c>
      <c r="C21" s="124">
        <f>HEX2DEC("FF")</f>
        <v>255</v>
      </c>
      <c r="D21" s="124">
        <f>HEX2DEC("CC")</f>
        <v>204</v>
      </c>
    </row>
    <row r="22" spans="1:4">
      <c r="A22" s="87" t="s">
        <v>38</v>
      </c>
      <c r="B22" s="124">
        <f>HEX2DEC("CC")</f>
        <v>204</v>
      </c>
      <c r="C22" s="124">
        <f>HEX2DEC("FF")</f>
        <v>255</v>
      </c>
      <c r="D22" s="124">
        <f>HEX2DEC("FF")</f>
        <v>255</v>
      </c>
    </row>
    <row r="23" spans="1:4">
      <c r="A23" s="88" t="s">
        <v>39</v>
      </c>
      <c r="B23" s="124">
        <f>HEX2DEC("66")</f>
        <v>102</v>
      </c>
      <c r="C23" s="124">
        <f>HEX2DEC("00")</f>
        <v>0</v>
      </c>
      <c r="D23" s="124">
        <f>HEX2DEC("66")</f>
        <v>102</v>
      </c>
    </row>
    <row r="24" spans="1:4">
      <c r="A24" s="89" t="s">
        <v>40</v>
      </c>
      <c r="B24" s="124">
        <f>HEX2DEC("FF")</f>
        <v>255</v>
      </c>
      <c r="C24" s="124">
        <f>HEX2DEC("80")</f>
        <v>128</v>
      </c>
      <c r="D24" s="124">
        <f>HEX2DEC("80")</f>
        <v>128</v>
      </c>
    </row>
    <row r="25" spans="1:4">
      <c r="A25" s="90" t="s">
        <v>41</v>
      </c>
      <c r="B25" s="124">
        <f>HEX2DEC("00")</f>
        <v>0</v>
      </c>
      <c r="C25" s="124">
        <f>HEX2DEC("66")</f>
        <v>102</v>
      </c>
      <c r="D25" s="124">
        <f>HEX2DEC("CC")</f>
        <v>204</v>
      </c>
    </row>
    <row r="26" spans="1:4">
      <c r="A26" s="91" t="s">
        <v>42</v>
      </c>
      <c r="B26" s="124">
        <f>HEX2DEC("CC")</f>
        <v>204</v>
      </c>
      <c r="C26" s="124">
        <f>HEX2DEC("CC")</f>
        <v>204</v>
      </c>
      <c r="D26" s="124">
        <f>HEX2DEC("FF")</f>
        <v>255</v>
      </c>
    </row>
    <row r="27" spans="1:4">
      <c r="A27" s="92" t="s">
        <v>43</v>
      </c>
      <c r="B27" s="124">
        <f>HEX2DEC("00")</f>
        <v>0</v>
      </c>
      <c r="C27" s="124">
        <f>HEX2DEC("00")</f>
        <v>0</v>
      </c>
      <c r="D27" s="124">
        <f>HEX2DEC("80")</f>
        <v>128</v>
      </c>
    </row>
    <row r="28" spans="1:4">
      <c r="A28" s="93" t="s">
        <v>44</v>
      </c>
      <c r="B28" s="124">
        <f>HEX2DEC("FF")</f>
        <v>255</v>
      </c>
      <c r="C28" s="124">
        <f>HEX2DEC("00")</f>
        <v>0</v>
      </c>
      <c r="D28" s="124">
        <f>HEX2DEC("FF")</f>
        <v>255</v>
      </c>
    </row>
    <row r="29" spans="1:4">
      <c r="A29" s="94" t="s">
        <v>45</v>
      </c>
      <c r="B29" s="124">
        <f>HEX2DEC("FF")</f>
        <v>255</v>
      </c>
      <c r="C29" s="124">
        <f>HEX2DEC("FF")</f>
        <v>255</v>
      </c>
      <c r="D29" s="124">
        <f>HEX2DEC("00")</f>
        <v>0</v>
      </c>
    </row>
    <row r="30" spans="1:4">
      <c r="A30" s="95" t="s">
        <v>46</v>
      </c>
      <c r="B30" s="124">
        <f>HEX2DEC("00")</f>
        <v>0</v>
      </c>
      <c r="C30" s="124">
        <f>HEX2DEC("FF")</f>
        <v>255</v>
      </c>
      <c r="D30" s="124">
        <f>HEX2DEC("FF")</f>
        <v>255</v>
      </c>
    </row>
    <row r="31" spans="1:4">
      <c r="A31" s="96" t="s">
        <v>47</v>
      </c>
      <c r="B31" s="124">
        <f>HEX2DEC("80")</f>
        <v>128</v>
      </c>
      <c r="C31" s="124">
        <f>HEX2DEC("00")</f>
        <v>0</v>
      </c>
      <c r="D31" s="124">
        <f>HEX2DEC("80")</f>
        <v>128</v>
      </c>
    </row>
    <row r="32" spans="1:4">
      <c r="A32" s="97" t="s">
        <v>48</v>
      </c>
      <c r="B32" s="124">
        <f>HEX2DEC("80")</f>
        <v>128</v>
      </c>
      <c r="C32" s="124">
        <f>HEX2DEC("00")</f>
        <v>0</v>
      </c>
      <c r="D32" s="124">
        <f>HEX2DEC("00")</f>
        <v>0</v>
      </c>
    </row>
    <row r="33" spans="1:4">
      <c r="A33" s="98" t="s">
        <v>49</v>
      </c>
      <c r="B33" s="124">
        <f>HEX2DEC("00")</f>
        <v>0</v>
      </c>
      <c r="C33" s="124">
        <f>HEX2DEC("80")</f>
        <v>128</v>
      </c>
      <c r="D33" s="124">
        <f>HEX2DEC("80")</f>
        <v>128</v>
      </c>
    </row>
    <row r="34" spans="1:4">
      <c r="A34" s="99" t="s">
        <v>50</v>
      </c>
      <c r="B34" s="124">
        <f>HEX2DEC("00")</f>
        <v>0</v>
      </c>
      <c r="C34" s="124">
        <f>HEX2DEC("00")</f>
        <v>0</v>
      </c>
      <c r="D34" s="124">
        <f>HEX2DEC("FF")</f>
        <v>255</v>
      </c>
    </row>
    <row r="35" spans="1:4">
      <c r="A35" s="100" t="s">
        <v>51</v>
      </c>
      <c r="B35" s="124">
        <f>HEX2DEC("00")</f>
        <v>0</v>
      </c>
      <c r="C35" s="124">
        <f>HEX2DEC("CC")</f>
        <v>204</v>
      </c>
      <c r="D35" s="124">
        <f>HEX2DEC("FF")</f>
        <v>255</v>
      </c>
    </row>
    <row r="36" spans="1:4">
      <c r="A36" s="101" t="s">
        <v>52</v>
      </c>
      <c r="B36" s="124">
        <f>HEX2DEC("CC")</f>
        <v>204</v>
      </c>
      <c r="C36" s="124">
        <f>HEX2DEC("FF")</f>
        <v>255</v>
      </c>
      <c r="D36" s="124">
        <f>HEX2DEC("FF")</f>
        <v>255</v>
      </c>
    </row>
    <row r="37" spans="1:4">
      <c r="A37" s="102" t="s">
        <v>53</v>
      </c>
      <c r="B37" s="124">
        <f>HEX2DEC("CC")</f>
        <v>204</v>
      </c>
      <c r="C37" s="124">
        <f>HEX2DEC("FF")</f>
        <v>255</v>
      </c>
      <c r="D37" s="124">
        <f>HEX2DEC("CC")</f>
        <v>204</v>
      </c>
    </row>
    <row r="38" spans="1:4">
      <c r="A38" s="103" t="s">
        <v>54</v>
      </c>
      <c r="B38" s="124">
        <f>HEX2DEC("FF")</f>
        <v>255</v>
      </c>
      <c r="C38" s="124">
        <f>HEX2DEC("FF")</f>
        <v>255</v>
      </c>
      <c r="D38" s="124">
        <f>HEX2DEC("99")</f>
        <v>153</v>
      </c>
    </row>
    <row r="39" spans="1:4">
      <c r="A39" s="104" t="s">
        <v>55</v>
      </c>
      <c r="B39" s="124">
        <f>HEX2DEC("99")</f>
        <v>153</v>
      </c>
      <c r="C39" s="124">
        <f>HEX2DEC("CC")</f>
        <v>204</v>
      </c>
      <c r="D39" s="124">
        <f>HEX2DEC("FF")</f>
        <v>255</v>
      </c>
    </row>
    <row r="40" spans="1:4">
      <c r="A40" s="105" t="s">
        <v>56</v>
      </c>
      <c r="B40" s="124">
        <f>HEX2DEC("FF")</f>
        <v>255</v>
      </c>
      <c r="C40" s="124">
        <f>HEX2DEC("99")</f>
        <v>153</v>
      </c>
      <c r="D40" s="124">
        <f>HEX2DEC("CC")</f>
        <v>204</v>
      </c>
    </row>
    <row r="41" spans="1:4">
      <c r="A41" s="106" t="s">
        <v>57</v>
      </c>
      <c r="B41" s="124">
        <f>HEX2DEC("CC")</f>
        <v>204</v>
      </c>
      <c r="C41" s="124">
        <f>HEX2DEC("99")</f>
        <v>153</v>
      </c>
      <c r="D41" s="124">
        <f>HEX2DEC("FF")</f>
        <v>255</v>
      </c>
    </row>
    <row r="42" spans="1:4">
      <c r="A42" s="107" t="s">
        <v>58</v>
      </c>
      <c r="B42" s="124">
        <f>HEX2DEC("FF")</f>
        <v>255</v>
      </c>
      <c r="C42" s="124">
        <f>HEX2DEC("CC")</f>
        <v>204</v>
      </c>
      <c r="D42" s="124">
        <f>HEX2DEC("99")</f>
        <v>153</v>
      </c>
    </row>
    <row r="43" spans="1:4">
      <c r="A43" s="108" t="s">
        <v>59</v>
      </c>
      <c r="B43" s="124">
        <f>HEX2DEC("33")</f>
        <v>51</v>
      </c>
      <c r="C43" s="124">
        <f>HEX2DEC("66")</f>
        <v>102</v>
      </c>
      <c r="D43" s="124">
        <f>HEX2DEC("FF")</f>
        <v>255</v>
      </c>
    </row>
    <row r="44" spans="1:4">
      <c r="A44" s="109" t="s">
        <v>60</v>
      </c>
      <c r="B44" s="124">
        <f>HEX2DEC("33")</f>
        <v>51</v>
      </c>
      <c r="C44" s="124">
        <f>HEX2DEC("CC")</f>
        <v>204</v>
      </c>
      <c r="D44" s="124">
        <f>HEX2DEC("CC")</f>
        <v>204</v>
      </c>
    </row>
    <row r="45" spans="1:4">
      <c r="A45" s="110" t="s">
        <v>61</v>
      </c>
      <c r="B45" s="124">
        <f>HEX2DEC("99")</f>
        <v>153</v>
      </c>
      <c r="C45" s="124">
        <f>HEX2DEC("CC")</f>
        <v>204</v>
      </c>
      <c r="D45" s="124">
        <f>HEX2DEC("00")</f>
        <v>0</v>
      </c>
    </row>
    <row r="46" spans="1:4">
      <c r="A46" s="111" t="s">
        <v>62</v>
      </c>
      <c r="B46" s="124">
        <f>HEX2DEC("FF")</f>
        <v>255</v>
      </c>
      <c r="C46" s="124">
        <f>HEX2DEC("CC")</f>
        <v>204</v>
      </c>
      <c r="D46" s="124">
        <f>HEX2DEC("00")</f>
        <v>0</v>
      </c>
    </row>
    <row r="47" spans="1:4">
      <c r="A47" s="112" t="s">
        <v>63</v>
      </c>
      <c r="B47" s="124">
        <f>HEX2DEC("FF")</f>
        <v>255</v>
      </c>
      <c r="C47" s="124">
        <f>HEX2DEC("99")</f>
        <v>153</v>
      </c>
      <c r="D47" s="124">
        <f>HEX2DEC("00")</f>
        <v>0</v>
      </c>
    </row>
    <row r="48" spans="1:4">
      <c r="A48" s="113" t="s">
        <v>64</v>
      </c>
      <c r="B48" s="124">
        <f>HEX2DEC("FF")</f>
        <v>255</v>
      </c>
      <c r="C48" s="124">
        <f>HEX2DEC("66")</f>
        <v>102</v>
      </c>
      <c r="D48" s="124">
        <f>HEX2DEC("00")</f>
        <v>0</v>
      </c>
    </row>
    <row r="49" spans="1:4">
      <c r="A49" s="114" t="s">
        <v>65</v>
      </c>
      <c r="B49" s="124">
        <f>HEX2DEC("66")</f>
        <v>102</v>
      </c>
      <c r="C49" s="124">
        <f>HEX2DEC("66")</f>
        <v>102</v>
      </c>
      <c r="D49" s="124">
        <f>HEX2DEC("99")</f>
        <v>153</v>
      </c>
    </row>
    <row r="50" spans="1:4">
      <c r="A50" s="115" t="s">
        <v>66</v>
      </c>
      <c r="B50" s="124">
        <f>HEX2DEC("96")</f>
        <v>150</v>
      </c>
      <c r="C50" s="124">
        <f>HEX2DEC("96")</f>
        <v>150</v>
      </c>
      <c r="D50" s="124">
        <f>HEX2DEC("96")</f>
        <v>150</v>
      </c>
    </row>
    <row r="51" spans="1:4">
      <c r="A51" s="116" t="s">
        <v>67</v>
      </c>
      <c r="B51" s="124">
        <f>HEX2DEC("00")</f>
        <v>0</v>
      </c>
      <c r="C51" s="124">
        <f>HEX2DEC("33")</f>
        <v>51</v>
      </c>
      <c r="D51" s="124">
        <f>HEX2DEC("66")</f>
        <v>102</v>
      </c>
    </row>
    <row r="52" spans="1:4">
      <c r="A52" s="117" t="s">
        <v>68</v>
      </c>
      <c r="B52" s="124">
        <f>HEX2DEC("33")</f>
        <v>51</v>
      </c>
      <c r="C52" s="124">
        <f>HEX2DEC("99")</f>
        <v>153</v>
      </c>
      <c r="D52" s="124">
        <f>HEX2DEC("66")</f>
        <v>102</v>
      </c>
    </row>
    <row r="53" spans="1:4">
      <c r="A53" s="118" t="s">
        <v>69</v>
      </c>
      <c r="B53" s="124">
        <f>HEX2DEC("00")</f>
        <v>0</v>
      </c>
      <c r="C53" s="124">
        <f t="shared" ref="C53:C58" si="0">HEX2DEC("33")</f>
        <v>51</v>
      </c>
      <c r="D53" s="124">
        <f>HEX2DEC("00")</f>
        <v>0</v>
      </c>
    </row>
    <row r="54" spans="1:4">
      <c r="A54" s="119" t="s">
        <v>70</v>
      </c>
      <c r="B54" s="124">
        <f>HEX2DEC("33")</f>
        <v>51</v>
      </c>
      <c r="C54" s="124">
        <f t="shared" si="0"/>
        <v>51</v>
      </c>
      <c r="D54" s="124">
        <f>HEX2DEC("00")</f>
        <v>0</v>
      </c>
    </row>
    <row r="55" spans="1:4">
      <c r="A55" s="120" t="s">
        <v>71</v>
      </c>
      <c r="B55" s="124">
        <f>HEX2DEC("99")</f>
        <v>153</v>
      </c>
      <c r="C55" s="124">
        <f t="shared" si="0"/>
        <v>51</v>
      </c>
      <c r="D55" s="124">
        <f>HEX2DEC("00")</f>
        <v>0</v>
      </c>
    </row>
    <row r="56" spans="1:4">
      <c r="A56" s="121" t="s">
        <v>72</v>
      </c>
      <c r="B56" s="124">
        <f>HEX2DEC("99")</f>
        <v>153</v>
      </c>
      <c r="C56" s="124">
        <f t="shared" si="0"/>
        <v>51</v>
      </c>
      <c r="D56" s="124">
        <f>HEX2DEC("66")</f>
        <v>102</v>
      </c>
    </row>
    <row r="57" spans="1:4">
      <c r="A57" s="122" t="s">
        <v>73</v>
      </c>
      <c r="B57" s="124">
        <f>HEX2DEC("33")</f>
        <v>51</v>
      </c>
      <c r="C57" s="124">
        <f t="shared" si="0"/>
        <v>51</v>
      </c>
      <c r="D57" s="124">
        <f>HEX2DEC("99")</f>
        <v>153</v>
      </c>
    </row>
    <row r="58" spans="1:4">
      <c r="A58" s="123" t="s">
        <v>74</v>
      </c>
      <c r="B58" s="124">
        <f>HEX2DEC("33")</f>
        <v>51</v>
      </c>
      <c r="C58" s="124">
        <f t="shared" si="0"/>
        <v>51</v>
      </c>
      <c r="D58" s="124">
        <f>HEX2DEC("33")</f>
        <v>51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B2:AO12"/>
  <sheetViews>
    <sheetView topLeftCell="A3" zoomScale="110" zoomScaleNormal="110" workbookViewId="0">
      <selection activeCell="B5" sqref="B5:B12"/>
    </sheetView>
  </sheetViews>
  <sheetFormatPr defaultRowHeight="15"/>
  <sheetData>
    <row r="2" spans="2:41">
      <c r="B2" s="5">
        <v>12</v>
      </c>
      <c r="C2" s="10">
        <v>13</v>
      </c>
      <c r="D2" s="23">
        <v>14</v>
      </c>
      <c r="E2" s="10">
        <v>15</v>
      </c>
      <c r="F2" s="5">
        <v>16</v>
      </c>
      <c r="G2" s="10">
        <v>17</v>
      </c>
      <c r="H2" s="23">
        <v>18</v>
      </c>
      <c r="I2" s="10">
        <v>19</v>
      </c>
      <c r="J2" s="5">
        <v>20</v>
      </c>
      <c r="K2" s="10">
        <v>21</v>
      </c>
      <c r="L2" s="23">
        <v>22</v>
      </c>
      <c r="M2" s="10">
        <v>23</v>
      </c>
      <c r="N2" s="5">
        <v>24</v>
      </c>
      <c r="O2" s="10">
        <v>25</v>
      </c>
      <c r="P2" s="23">
        <v>26</v>
      </c>
      <c r="Q2" s="10">
        <v>27</v>
      </c>
      <c r="R2" s="5">
        <v>28</v>
      </c>
      <c r="S2" s="10">
        <v>29</v>
      </c>
      <c r="T2" s="23">
        <v>30</v>
      </c>
      <c r="U2" s="10">
        <v>31</v>
      </c>
      <c r="V2" s="6">
        <v>32</v>
      </c>
      <c r="W2" s="10">
        <v>33</v>
      </c>
      <c r="X2" s="23">
        <v>34</v>
      </c>
      <c r="Y2" s="10">
        <v>35</v>
      </c>
      <c r="Z2" s="5">
        <v>36</v>
      </c>
      <c r="AA2" s="10">
        <v>37</v>
      </c>
      <c r="AB2" s="23">
        <v>38</v>
      </c>
      <c r="AC2" s="10">
        <v>39</v>
      </c>
      <c r="AD2" s="5">
        <v>40</v>
      </c>
      <c r="AE2" s="10">
        <v>41</v>
      </c>
      <c r="AF2" s="23">
        <v>42</v>
      </c>
      <c r="AG2" s="10">
        <v>43</v>
      </c>
      <c r="AH2" s="5">
        <v>44</v>
      </c>
      <c r="AI2" s="10">
        <v>45</v>
      </c>
      <c r="AJ2" s="23">
        <v>46</v>
      </c>
      <c r="AK2" s="10">
        <v>47</v>
      </c>
      <c r="AL2" s="5">
        <v>48</v>
      </c>
      <c r="AM2" s="10">
        <v>49</v>
      </c>
      <c r="AN2" s="23">
        <v>50</v>
      </c>
      <c r="AO2" s="10">
        <v>51</v>
      </c>
    </row>
    <row r="3" spans="2:41">
      <c r="B3" t="str">
        <f>CONCATENATE(B2,",",C2,",",D2,",",E2,",",F2,",",G2,",",H2,",",I2,",",J2,",",K2,",",L2,",",M2,",",N2,",",O2,",",P2,",",Q2,",",R2,",",S2,",",T2,",",U2,",",V2,",",W2,",",X2,",",Y2,",",Z2,",",AA2,",",AB2,",",AC2,",",AD2,",",AE2,",",AF2,",",AG2,",",AH2,",",AI2,",",AJ2,",",AK2,",",AL2,",",AM2,",",AN2,",",AO2)</f>
        <v>12,13,14,15,16,17,18,19,20,21,22,23,24,25,26,27,28,29,30,31,32,33,34,35,36,37,38,39,40,41,42,43,44,45,46,47,48,49,50,51</v>
      </c>
    </row>
    <row r="5" spans="2:41">
      <c r="B5" s="6">
        <v>51</v>
      </c>
    </row>
    <row r="6" spans="2:41">
      <c r="B6" s="6">
        <v>50</v>
      </c>
    </row>
    <row r="7" spans="2:41">
      <c r="B7" s="5">
        <v>49</v>
      </c>
    </row>
    <row r="8" spans="2:41">
      <c r="B8" s="6">
        <v>48</v>
      </c>
    </row>
    <row r="9" spans="2:41">
      <c r="B9" s="6">
        <v>47</v>
      </c>
    </row>
    <row r="10" spans="2:41">
      <c r="B10" s="5">
        <v>46</v>
      </c>
    </row>
    <row r="11" spans="2:41">
      <c r="B11" s="6">
        <v>45</v>
      </c>
    </row>
    <row r="12" spans="2:41">
      <c r="B12" s="6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PONTEIROS</vt:lpstr>
      <vt:lpstr>BCKGND</vt:lpstr>
      <vt:lpstr>ASCII</vt:lpstr>
      <vt:lpstr>CORES</vt:lpstr>
      <vt:lpstr>Folha1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User Name</dc:creator>
  <cp:lastModifiedBy>Your User Name</cp:lastModifiedBy>
  <dcterms:created xsi:type="dcterms:W3CDTF">2011-06-14T02:14:39Z</dcterms:created>
  <dcterms:modified xsi:type="dcterms:W3CDTF">2011-06-24T20:26:15Z</dcterms:modified>
</cp:coreProperties>
</file>